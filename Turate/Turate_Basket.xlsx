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tteovezzoli/Desktop/turate-basket-dashboard/Turate/"/>
    </mc:Choice>
  </mc:AlternateContent>
  <xr:revisionPtr revIDLastSave="0" documentId="13_ncr:1_{F8D27BCC-B74D-5548-994F-1023775C9B6D}" xr6:coauthVersionLast="47" xr6:coauthVersionMax="47" xr10:uidLastSave="{00000000-0000-0000-0000-000000000000}"/>
  <bookViews>
    <workbookView xWindow="0" yWindow="6180" windowWidth="41280" windowHeight="8180" tabRatio="500" xr2:uid="{00000000-000D-0000-FFFF-FFFF00000000}"/>
  </bookViews>
  <sheets>
    <sheet name="Giocatori" sheetId="1" r:id="rId1"/>
    <sheet name="Squadr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66" i="1" l="1"/>
  <c r="R66" i="1"/>
  <c r="Q66" i="1"/>
  <c r="P66" i="1"/>
  <c r="O66" i="1"/>
  <c r="M66" i="1"/>
  <c r="K66" i="1"/>
  <c r="J66" i="1"/>
  <c r="L66" i="1" s="1"/>
  <c r="H66" i="1"/>
  <c r="G66" i="1"/>
  <c r="I66" i="1" s="1"/>
  <c r="E66" i="1"/>
  <c r="D66" i="1"/>
  <c r="F66" i="1" s="1"/>
  <c r="C66" i="1"/>
  <c r="N65" i="1"/>
  <c r="L65" i="1"/>
  <c r="I65" i="1"/>
  <c r="F65" i="1"/>
  <c r="N64" i="1"/>
  <c r="L64" i="1"/>
  <c r="I64" i="1"/>
  <c r="F64" i="1"/>
  <c r="N63" i="1"/>
  <c r="L63" i="1"/>
  <c r="I63" i="1"/>
  <c r="F63" i="1"/>
  <c r="N62" i="1"/>
  <c r="L62" i="1"/>
  <c r="I62" i="1"/>
  <c r="F62" i="1"/>
  <c r="N61" i="1"/>
  <c r="L61" i="1"/>
  <c r="I61" i="1"/>
  <c r="F61" i="1"/>
  <c r="N60" i="1"/>
  <c r="L60" i="1"/>
  <c r="I60" i="1"/>
  <c r="F60" i="1"/>
  <c r="N59" i="1"/>
  <c r="L59" i="1"/>
  <c r="I59" i="1"/>
  <c r="F59" i="1"/>
  <c r="N58" i="1"/>
  <c r="L58" i="1"/>
  <c r="I58" i="1"/>
  <c r="F58" i="1"/>
  <c r="N57" i="1"/>
  <c r="L57" i="1"/>
  <c r="I57" i="1"/>
  <c r="F57" i="1"/>
  <c r="N56" i="1"/>
  <c r="L56" i="1"/>
  <c r="I56" i="1"/>
  <c r="F56" i="1"/>
  <c r="N55" i="1"/>
  <c r="L55" i="1"/>
  <c r="I55" i="1"/>
  <c r="F55" i="1"/>
  <c r="N54" i="1"/>
  <c r="N66" i="1" s="1"/>
  <c r="L54" i="1"/>
  <c r="I54" i="1"/>
  <c r="F54" i="1"/>
  <c r="R53" i="1"/>
  <c r="Q53" i="1"/>
  <c r="P53" i="1"/>
  <c r="O53" i="1"/>
  <c r="N53" i="1"/>
  <c r="M53" i="1"/>
  <c r="K53" i="1"/>
  <c r="J53" i="1"/>
  <c r="L53" i="1" s="1"/>
  <c r="H53" i="1"/>
  <c r="G53" i="1"/>
  <c r="I53" i="1" s="1"/>
  <c r="E53" i="1"/>
  <c r="D53" i="1"/>
  <c r="F53" i="1" s="1"/>
  <c r="C53" i="1"/>
  <c r="N52" i="1"/>
  <c r="L52" i="1"/>
  <c r="I52" i="1"/>
  <c r="F52" i="1"/>
  <c r="N51" i="1"/>
  <c r="L51" i="1"/>
  <c r="I51" i="1"/>
  <c r="F51" i="1"/>
  <c r="N50" i="1"/>
  <c r="L50" i="1"/>
  <c r="I50" i="1"/>
  <c r="F50" i="1"/>
  <c r="N49" i="1"/>
  <c r="L49" i="1"/>
  <c r="I49" i="1"/>
  <c r="F49" i="1"/>
  <c r="N48" i="1"/>
  <c r="L48" i="1"/>
  <c r="I48" i="1"/>
  <c r="F48" i="1"/>
  <c r="N47" i="1"/>
  <c r="L47" i="1"/>
  <c r="I47" i="1"/>
  <c r="F47" i="1"/>
  <c r="N46" i="1"/>
  <c r="L46" i="1"/>
  <c r="I46" i="1"/>
  <c r="F46" i="1"/>
  <c r="N45" i="1"/>
  <c r="L45" i="1"/>
  <c r="I45" i="1"/>
  <c r="F45" i="1"/>
  <c r="N44" i="1"/>
  <c r="L44" i="1"/>
  <c r="I44" i="1"/>
  <c r="F44" i="1"/>
  <c r="N43" i="1"/>
  <c r="L43" i="1"/>
  <c r="I43" i="1"/>
  <c r="F43" i="1"/>
  <c r="N42" i="1"/>
  <c r="L42" i="1"/>
  <c r="I42" i="1"/>
  <c r="F42" i="1"/>
  <c r="N41" i="1"/>
  <c r="L41" i="1"/>
  <c r="I41" i="1"/>
  <c r="F41" i="1"/>
  <c r="N40" i="1"/>
  <c r="M40" i="1"/>
  <c r="K40" i="1"/>
  <c r="J40" i="1"/>
  <c r="L40" i="1" s="1"/>
  <c r="H40" i="1"/>
  <c r="G40" i="1"/>
  <c r="I40" i="1" s="1"/>
  <c r="E40" i="1"/>
  <c r="D40" i="1"/>
  <c r="F40" i="1" s="1"/>
  <c r="C40" i="1"/>
  <c r="N39" i="1"/>
  <c r="L39" i="1"/>
  <c r="I39" i="1"/>
  <c r="F39" i="1"/>
  <c r="N38" i="1"/>
  <c r="L38" i="1"/>
  <c r="I38" i="1"/>
  <c r="F38" i="1"/>
  <c r="N37" i="1"/>
  <c r="L37" i="1"/>
  <c r="I37" i="1"/>
  <c r="F37" i="1"/>
  <c r="N36" i="1"/>
  <c r="L36" i="1"/>
  <c r="I36" i="1"/>
  <c r="F36" i="1"/>
  <c r="N35" i="1"/>
  <c r="L35" i="1"/>
  <c r="I35" i="1"/>
  <c r="F35" i="1"/>
  <c r="N34" i="1"/>
  <c r="L34" i="1"/>
  <c r="I34" i="1"/>
  <c r="F34" i="1"/>
  <c r="N33" i="1"/>
  <c r="L33" i="1"/>
  <c r="I33" i="1"/>
  <c r="F33" i="1"/>
  <c r="N32" i="1"/>
  <c r="L32" i="1"/>
  <c r="I32" i="1"/>
  <c r="F32" i="1"/>
  <c r="N31" i="1"/>
  <c r="L31" i="1"/>
  <c r="I31" i="1"/>
  <c r="F31" i="1"/>
  <c r="N30" i="1"/>
  <c r="L30" i="1"/>
  <c r="I30" i="1"/>
  <c r="F30" i="1"/>
  <c r="N29" i="1"/>
  <c r="L29" i="1"/>
  <c r="I29" i="1"/>
  <c r="F29" i="1"/>
  <c r="N28" i="1"/>
  <c r="L28" i="1"/>
  <c r="I28" i="1"/>
  <c r="F28" i="1"/>
  <c r="N27" i="1"/>
  <c r="M27" i="1"/>
  <c r="K27" i="1"/>
  <c r="J27" i="1"/>
  <c r="L27" i="1" s="1"/>
  <c r="H27" i="1"/>
  <c r="G27" i="1"/>
  <c r="I27" i="1" s="1"/>
  <c r="E27" i="1"/>
  <c r="D27" i="1"/>
  <c r="F27" i="1" s="1"/>
  <c r="C27" i="1"/>
  <c r="N26" i="1"/>
  <c r="L26" i="1"/>
  <c r="I26" i="1"/>
  <c r="F26" i="1"/>
  <c r="N25" i="1"/>
  <c r="L25" i="1"/>
  <c r="I25" i="1"/>
  <c r="F25" i="1"/>
  <c r="N24" i="1"/>
  <c r="L24" i="1"/>
  <c r="I24" i="1"/>
  <c r="F24" i="1"/>
  <c r="N23" i="1"/>
  <c r="L23" i="1"/>
  <c r="I23" i="1"/>
  <c r="F23" i="1"/>
  <c r="N22" i="1"/>
  <c r="L22" i="1"/>
  <c r="I22" i="1"/>
  <c r="F22" i="1"/>
  <c r="N21" i="1"/>
  <c r="L21" i="1"/>
  <c r="I21" i="1"/>
  <c r="F21" i="1"/>
  <c r="N20" i="1"/>
  <c r="L20" i="1"/>
  <c r="I20" i="1"/>
  <c r="F20" i="1"/>
  <c r="N19" i="1"/>
  <c r="L19" i="1"/>
  <c r="I19" i="1"/>
  <c r="F19" i="1"/>
  <c r="N18" i="1"/>
  <c r="L18" i="1"/>
  <c r="I18" i="1"/>
  <c r="F18" i="1"/>
  <c r="N17" i="1"/>
  <c r="L17" i="1"/>
  <c r="I17" i="1"/>
  <c r="F17" i="1"/>
  <c r="N16" i="1"/>
  <c r="L16" i="1"/>
  <c r="I16" i="1"/>
  <c r="F16" i="1"/>
  <c r="N15" i="1"/>
  <c r="L15" i="1"/>
  <c r="I15" i="1"/>
  <c r="F15" i="1"/>
  <c r="N14" i="1"/>
  <c r="M14" i="1"/>
  <c r="K14" i="1"/>
  <c r="J14" i="1"/>
  <c r="L14" i="1" s="1"/>
  <c r="H14" i="1"/>
  <c r="G14" i="1"/>
  <c r="I14" i="1" s="1"/>
  <c r="E14" i="1"/>
  <c r="D14" i="1"/>
  <c r="F14" i="1" s="1"/>
  <c r="C14" i="1"/>
  <c r="N13" i="1"/>
  <c r="L13" i="1"/>
  <c r="I13" i="1"/>
  <c r="F13" i="1"/>
  <c r="N12" i="1"/>
  <c r="L12" i="1"/>
  <c r="I12" i="1"/>
  <c r="F12" i="1"/>
  <c r="N11" i="1"/>
  <c r="L11" i="1"/>
  <c r="I11" i="1"/>
  <c r="F11" i="1"/>
  <c r="N10" i="1"/>
  <c r="L10" i="1"/>
  <c r="I10" i="1"/>
  <c r="F10" i="1"/>
  <c r="N9" i="1"/>
  <c r="L9" i="1"/>
  <c r="I9" i="1"/>
  <c r="F9" i="1"/>
  <c r="N8" i="1"/>
  <c r="L8" i="1"/>
  <c r="I8" i="1"/>
  <c r="F8" i="1"/>
  <c r="N7" i="1"/>
  <c r="L7" i="1"/>
  <c r="I7" i="1"/>
  <c r="F7" i="1"/>
  <c r="N6" i="1"/>
  <c r="L6" i="1"/>
  <c r="I6" i="1"/>
  <c r="F6" i="1"/>
  <c r="N5" i="1"/>
  <c r="L5" i="1"/>
  <c r="I5" i="1"/>
  <c r="F5" i="1"/>
  <c r="N4" i="1"/>
  <c r="L4" i="1"/>
  <c r="I4" i="1"/>
  <c r="F4" i="1"/>
  <c r="N3" i="1"/>
  <c r="L3" i="1"/>
  <c r="I3" i="1"/>
  <c r="F3" i="1"/>
  <c r="N2" i="1"/>
  <c r="L2" i="1"/>
  <c r="I2" i="1"/>
  <c r="F2" i="1"/>
</calcChain>
</file>

<file path=xl/sharedStrings.xml><?xml version="1.0" encoding="utf-8"?>
<sst xmlns="http://schemas.openxmlformats.org/spreadsheetml/2006/main" count="100" uniqueCount="45">
  <si>
    <t>Partita</t>
  </si>
  <si>
    <t>Giocatori</t>
  </si>
  <si>
    <t>Titolare</t>
  </si>
  <si>
    <t>2P segnati</t>
  </si>
  <si>
    <t>2P tentati</t>
  </si>
  <si>
    <t>2P %</t>
  </si>
  <si>
    <t>3P segnati</t>
  </si>
  <si>
    <t>3P tentati</t>
  </si>
  <si>
    <t>3P %</t>
  </si>
  <si>
    <t>TL segnati</t>
  </si>
  <si>
    <t>TL tentati</t>
  </si>
  <si>
    <t>TL %</t>
  </si>
  <si>
    <t>Palle perse</t>
  </si>
  <si>
    <t xml:space="preserve">Punti segnati </t>
  </si>
  <si>
    <t>Rimbalzi totali</t>
  </si>
  <si>
    <t>Rimbalzi offensivi</t>
  </si>
  <si>
    <t>Assist</t>
  </si>
  <si>
    <t>Palle rubate</t>
  </si>
  <si>
    <t>Giocato</t>
  </si>
  <si>
    <t>Jack</t>
  </si>
  <si>
    <t>Ubo</t>
  </si>
  <si>
    <t>Karim</t>
  </si>
  <si>
    <t xml:space="preserve">Gio </t>
  </si>
  <si>
    <t>Marco</t>
  </si>
  <si>
    <t xml:space="preserve">Teo </t>
  </si>
  <si>
    <t>Dani</t>
  </si>
  <si>
    <t xml:space="preserve">Ricky </t>
  </si>
  <si>
    <t xml:space="preserve">Rupi </t>
  </si>
  <si>
    <t>Edo</t>
  </si>
  <si>
    <t>Vala</t>
  </si>
  <si>
    <t>Nic</t>
  </si>
  <si>
    <t>TOTALE</t>
  </si>
  <si>
    <t>Numero partita</t>
  </si>
  <si>
    <t>Data</t>
  </si>
  <si>
    <t>Tipo</t>
  </si>
  <si>
    <t>Avversario</t>
  </si>
  <si>
    <t>Punti fatti</t>
  </si>
  <si>
    <t>Punti subiti</t>
  </si>
  <si>
    <t>Amichevole</t>
  </si>
  <si>
    <t>Uboldo</t>
  </si>
  <si>
    <t>Albese</t>
  </si>
  <si>
    <t>BlackMamba</t>
  </si>
  <si>
    <t>Campionato</t>
  </si>
  <si>
    <t>Arona</t>
  </si>
  <si>
    <t>Trecate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</si>
</sst>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1" fillId="0" borderId="0" xfId="0" applyNumberFormat="1" applyFont="1"/>
    <xf numFmtId="9" fontId="0" fillId="0" borderId="0" xfId="0" applyNumberFormat="1"/>
    <xf numFmtId="16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48" zoomScale="93" zoomScaleNormal="100" workbookViewId="0">
      <selection activeCell="Q54" sqref="Q54"/>
    </sheetView>
  </sheetViews>
  <sheetFormatPr baseColWidth="10" defaultColWidth="10.6640625" defaultRowHeight="16" x14ac:dyDescent="0.2"/>
  <cols>
    <col min="17" max="17" width="10.6640625" style="6"/>
  </cols>
  <sheetData>
    <row r="1" spans="1:19" ht="15.75" customHeight="1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t="s">
        <v>18</v>
      </c>
    </row>
    <row r="2" spans="1:19" ht="15.75" customHeight="1" x14ac:dyDescent="0.2">
      <c r="A2">
        <v>1</v>
      </c>
      <c r="B2" t="s">
        <v>19</v>
      </c>
      <c r="C2">
        <v>1</v>
      </c>
      <c r="D2" s="1">
        <v>5</v>
      </c>
      <c r="E2" s="1">
        <v>8</v>
      </c>
      <c r="F2" s="2">
        <f t="shared" ref="F2:F33" si="0">IF(D2=0,0,D2/E2)</f>
        <v>0.625</v>
      </c>
      <c r="G2" s="1">
        <v>0</v>
      </c>
      <c r="H2" s="1">
        <v>1</v>
      </c>
      <c r="I2" s="2">
        <f t="shared" ref="I2:I33" si="1">IF(G2=0,0,G2/H2)</f>
        <v>0</v>
      </c>
      <c r="J2" s="1">
        <v>4</v>
      </c>
      <c r="K2" s="1">
        <v>8</v>
      </c>
      <c r="L2" s="2">
        <f t="shared" ref="L2:L33" si="2">IF(J2=0,0,J2/K2)</f>
        <v>0.5</v>
      </c>
      <c r="M2" s="1">
        <v>2</v>
      </c>
      <c r="N2">
        <f t="shared" ref="N2:N13" si="3">D2*2+G2*3+J2</f>
        <v>14</v>
      </c>
    </row>
    <row r="3" spans="1:19" ht="15.75" customHeight="1" x14ac:dyDescent="0.2">
      <c r="A3">
        <v>1</v>
      </c>
      <c r="B3" t="s">
        <v>20</v>
      </c>
      <c r="C3">
        <v>1</v>
      </c>
      <c r="D3" s="1">
        <v>1</v>
      </c>
      <c r="E3" s="1">
        <v>2</v>
      </c>
      <c r="F3" s="2">
        <f t="shared" si="0"/>
        <v>0.5</v>
      </c>
      <c r="G3" s="1">
        <v>2</v>
      </c>
      <c r="H3" s="1">
        <v>5</v>
      </c>
      <c r="I3" s="2">
        <f t="shared" si="1"/>
        <v>0.4</v>
      </c>
      <c r="J3" s="1">
        <v>0</v>
      </c>
      <c r="K3" s="1">
        <v>0</v>
      </c>
      <c r="L3" s="2">
        <f t="shared" si="2"/>
        <v>0</v>
      </c>
      <c r="M3" s="1">
        <v>0</v>
      </c>
      <c r="N3">
        <f t="shared" si="3"/>
        <v>8</v>
      </c>
    </row>
    <row r="4" spans="1:19" ht="15.75" customHeight="1" x14ac:dyDescent="0.2">
      <c r="A4">
        <v>1</v>
      </c>
      <c r="B4" t="s">
        <v>21</v>
      </c>
      <c r="C4">
        <v>1</v>
      </c>
      <c r="D4" s="1">
        <v>1</v>
      </c>
      <c r="E4" s="1">
        <v>2</v>
      </c>
      <c r="F4" s="2">
        <f t="shared" si="0"/>
        <v>0.5</v>
      </c>
      <c r="G4" s="1">
        <v>2</v>
      </c>
      <c r="H4" s="1">
        <v>6</v>
      </c>
      <c r="I4" s="2">
        <f t="shared" si="1"/>
        <v>0.33333333333333331</v>
      </c>
      <c r="J4" s="1">
        <v>0</v>
      </c>
      <c r="K4" s="1">
        <v>0</v>
      </c>
      <c r="L4" s="2">
        <f t="shared" si="2"/>
        <v>0</v>
      </c>
      <c r="M4" s="1">
        <v>2</v>
      </c>
      <c r="N4">
        <f t="shared" si="3"/>
        <v>8</v>
      </c>
    </row>
    <row r="5" spans="1:19" ht="15.75" customHeight="1" x14ac:dyDescent="0.2">
      <c r="A5">
        <v>1</v>
      </c>
      <c r="B5" t="s">
        <v>22</v>
      </c>
      <c r="C5">
        <v>1</v>
      </c>
      <c r="D5" s="1">
        <v>6</v>
      </c>
      <c r="E5" s="1">
        <v>9</v>
      </c>
      <c r="F5" s="2">
        <f t="shared" si="0"/>
        <v>0.66666666666666663</v>
      </c>
      <c r="G5" s="1">
        <v>1</v>
      </c>
      <c r="H5" s="1">
        <v>8</v>
      </c>
      <c r="I5" s="2">
        <f t="shared" si="1"/>
        <v>0.125</v>
      </c>
      <c r="J5" s="1">
        <v>0</v>
      </c>
      <c r="K5" s="1">
        <v>0</v>
      </c>
      <c r="L5" s="2">
        <f t="shared" si="2"/>
        <v>0</v>
      </c>
      <c r="M5" s="1">
        <v>4</v>
      </c>
      <c r="N5">
        <f t="shared" si="3"/>
        <v>15</v>
      </c>
    </row>
    <row r="6" spans="1:19" ht="15.75" customHeight="1" x14ac:dyDescent="0.2">
      <c r="A6">
        <v>1</v>
      </c>
      <c r="B6" t="s">
        <v>23</v>
      </c>
      <c r="C6">
        <v>1</v>
      </c>
      <c r="D6" s="1">
        <v>3</v>
      </c>
      <c r="E6" s="1">
        <v>8</v>
      </c>
      <c r="F6" s="2">
        <f t="shared" si="0"/>
        <v>0.375</v>
      </c>
      <c r="G6" s="1">
        <v>1</v>
      </c>
      <c r="H6" s="1">
        <v>3</v>
      </c>
      <c r="I6" s="2">
        <f t="shared" si="1"/>
        <v>0.33333333333333331</v>
      </c>
      <c r="J6" s="1">
        <v>6</v>
      </c>
      <c r="K6" s="1">
        <v>10</v>
      </c>
      <c r="L6" s="2">
        <f t="shared" si="2"/>
        <v>0.6</v>
      </c>
      <c r="M6" s="1">
        <v>1</v>
      </c>
      <c r="N6">
        <f t="shared" si="3"/>
        <v>15</v>
      </c>
    </row>
    <row r="7" spans="1:19" ht="15.75" customHeight="1" x14ac:dyDescent="0.2">
      <c r="A7">
        <v>1</v>
      </c>
      <c r="B7" t="s">
        <v>24</v>
      </c>
      <c r="C7">
        <v>0</v>
      </c>
      <c r="D7" s="1">
        <v>1</v>
      </c>
      <c r="E7" s="1">
        <v>6</v>
      </c>
      <c r="F7" s="2">
        <f t="shared" si="0"/>
        <v>0.16666666666666666</v>
      </c>
      <c r="G7" s="1">
        <v>0</v>
      </c>
      <c r="H7" s="1">
        <v>1</v>
      </c>
      <c r="I7" s="2">
        <f t="shared" si="1"/>
        <v>0</v>
      </c>
      <c r="J7" s="1">
        <v>2</v>
      </c>
      <c r="K7" s="1">
        <v>4</v>
      </c>
      <c r="L7" s="2">
        <f t="shared" si="2"/>
        <v>0.5</v>
      </c>
      <c r="M7" s="1">
        <v>3</v>
      </c>
      <c r="N7">
        <f t="shared" si="3"/>
        <v>4</v>
      </c>
    </row>
    <row r="8" spans="1:19" ht="15.75" customHeight="1" x14ac:dyDescent="0.2">
      <c r="A8">
        <v>1</v>
      </c>
      <c r="B8" t="s">
        <v>25</v>
      </c>
      <c r="C8">
        <v>0</v>
      </c>
      <c r="D8" s="1">
        <v>1</v>
      </c>
      <c r="E8" s="1">
        <v>2</v>
      </c>
      <c r="F8" s="2">
        <f t="shared" si="0"/>
        <v>0.5</v>
      </c>
      <c r="G8" s="1">
        <v>3</v>
      </c>
      <c r="H8" s="1">
        <v>7</v>
      </c>
      <c r="I8" s="2">
        <f t="shared" si="1"/>
        <v>0.42857142857142855</v>
      </c>
      <c r="J8" s="1">
        <v>0</v>
      </c>
      <c r="K8" s="1">
        <v>0</v>
      </c>
      <c r="L8" s="2">
        <f t="shared" si="2"/>
        <v>0</v>
      </c>
      <c r="M8" s="1">
        <v>2</v>
      </c>
      <c r="N8">
        <f t="shared" si="3"/>
        <v>11</v>
      </c>
    </row>
    <row r="9" spans="1:19" ht="15.75" customHeight="1" x14ac:dyDescent="0.2">
      <c r="A9">
        <v>1</v>
      </c>
      <c r="B9" t="s">
        <v>26</v>
      </c>
      <c r="C9">
        <v>0</v>
      </c>
      <c r="D9" s="1">
        <v>0</v>
      </c>
      <c r="E9" s="1">
        <v>2</v>
      </c>
      <c r="F9" s="2">
        <f t="shared" si="0"/>
        <v>0</v>
      </c>
      <c r="G9" s="1">
        <v>0</v>
      </c>
      <c r="H9" s="1">
        <v>0</v>
      </c>
      <c r="I9" s="2">
        <f t="shared" si="1"/>
        <v>0</v>
      </c>
      <c r="J9" s="1">
        <v>0</v>
      </c>
      <c r="K9" s="1">
        <v>0</v>
      </c>
      <c r="L9" s="2">
        <f t="shared" si="2"/>
        <v>0</v>
      </c>
      <c r="M9" s="1">
        <v>1</v>
      </c>
      <c r="N9">
        <f t="shared" si="3"/>
        <v>0</v>
      </c>
    </row>
    <row r="10" spans="1:19" ht="15.75" customHeight="1" x14ac:dyDescent="0.2">
      <c r="A10">
        <v>1</v>
      </c>
      <c r="B10" t="s">
        <v>27</v>
      </c>
      <c r="C10">
        <v>0</v>
      </c>
      <c r="D10" s="1">
        <v>2</v>
      </c>
      <c r="E10" s="1">
        <v>2</v>
      </c>
      <c r="F10" s="2">
        <f t="shared" si="0"/>
        <v>1</v>
      </c>
      <c r="G10" s="1">
        <v>0</v>
      </c>
      <c r="H10" s="1">
        <v>0</v>
      </c>
      <c r="I10" s="2">
        <f t="shared" si="1"/>
        <v>0</v>
      </c>
      <c r="J10" s="1">
        <v>0</v>
      </c>
      <c r="K10" s="1">
        <v>1</v>
      </c>
      <c r="L10" s="2">
        <f t="shared" si="2"/>
        <v>0</v>
      </c>
      <c r="M10" s="1">
        <v>2</v>
      </c>
      <c r="N10">
        <f t="shared" si="3"/>
        <v>4</v>
      </c>
    </row>
    <row r="11" spans="1:19" ht="15.75" customHeight="1" x14ac:dyDescent="0.2">
      <c r="A11">
        <v>1</v>
      </c>
      <c r="B11" t="s">
        <v>28</v>
      </c>
      <c r="C11">
        <v>0</v>
      </c>
      <c r="D11" s="1">
        <v>1</v>
      </c>
      <c r="E11" s="1">
        <v>1</v>
      </c>
      <c r="F11" s="2">
        <f t="shared" si="0"/>
        <v>1</v>
      </c>
      <c r="G11" s="1">
        <v>0</v>
      </c>
      <c r="H11" s="1">
        <v>1</v>
      </c>
      <c r="I11" s="2">
        <f t="shared" si="1"/>
        <v>0</v>
      </c>
      <c r="J11" s="1">
        <v>0</v>
      </c>
      <c r="K11" s="1">
        <v>0</v>
      </c>
      <c r="L11" s="2">
        <f t="shared" si="2"/>
        <v>0</v>
      </c>
      <c r="M11" s="1">
        <v>1</v>
      </c>
      <c r="N11">
        <f t="shared" si="3"/>
        <v>2</v>
      </c>
    </row>
    <row r="12" spans="1:19" ht="15.75" customHeight="1" x14ac:dyDescent="0.2">
      <c r="A12">
        <v>1</v>
      </c>
      <c r="B12" t="s">
        <v>29</v>
      </c>
      <c r="C12">
        <v>0</v>
      </c>
      <c r="D12">
        <v>0</v>
      </c>
      <c r="E12">
        <v>0</v>
      </c>
      <c r="F12" s="2">
        <f t="shared" si="0"/>
        <v>0</v>
      </c>
      <c r="G12">
        <v>0</v>
      </c>
      <c r="H12">
        <v>0</v>
      </c>
      <c r="I12" s="2">
        <f t="shared" si="1"/>
        <v>0</v>
      </c>
      <c r="J12">
        <v>0</v>
      </c>
      <c r="K12">
        <v>0</v>
      </c>
      <c r="L12" s="2">
        <f t="shared" si="2"/>
        <v>0</v>
      </c>
      <c r="M12">
        <v>0</v>
      </c>
      <c r="N12">
        <f t="shared" si="3"/>
        <v>0</v>
      </c>
    </row>
    <row r="13" spans="1:19" ht="15.75" customHeight="1" x14ac:dyDescent="0.2">
      <c r="A13">
        <v>1</v>
      </c>
      <c r="B13" t="s">
        <v>30</v>
      </c>
      <c r="C13">
        <v>0</v>
      </c>
      <c r="D13">
        <v>0</v>
      </c>
      <c r="E13">
        <v>0</v>
      </c>
      <c r="F13" s="2">
        <f t="shared" si="0"/>
        <v>0</v>
      </c>
      <c r="G13">
        <v>0</v>
      </c>
      <c r="H13">
        <v>0</v>
      </c>
      <c r="I13" s="2">
        <f t="shared" si="1"/>
        <v>0</v>
      </c>
      <c r="J13">
        <v>0</v>
      </c>
      <c r="K13">
        <v>0</v>
      </c>
      <c r="L13" s="2">
        <f t="shared" si="2"/>
        <v>0</v>
      </c>
      <c r="M13">
        <v>0</v>
      </c>
      <c r="N13">
        <f t="shared" si="3"/>
        <v>0</v>
      </c>
    </row>
    <row r="14" spans="1:19" ht="15.75" customHeight="1" x14ac:dyDescent="0.2">
      <c r="A14">
        <v>1</v>
      </c>
      <c r="B14" t="s">
        <v>31</v>
      </c>
      <c r="C14">
        <f>SUM(C2:C13)</f>
        <v>5</v>
      </c>
      <c r="D14">
        <f>SUM(D2:D13)</f>
        <v>21</v>
      </c>
      <c r="E14">
        <f>SUM(E2:E13)</f>
        <v>42</v>
      </c>
      <c r="F14" s="2">
        <f t="shared" si="0"/>
        <v>0.5</v>
      </c>
      <c r="G14">
        <f>SUM(G2:G13)</f>
        <v>9</v>
      </c>
      <c r="H14">
        <f>SUM(H2:H13)</f>
        <v>32</v>
      </c>
      <c r="I14" s="2">
        <f t="shared" si="1"/>
        <v>0.28125</v>
      </c>
      <c r="J14">
        <f>SUM(J2:J13)</f>
        <v>12</v>
      </c>
      <c r="K14">
        <f>SUM(K2:K13)</f>
        <v>23</v>
      </c>
      <c r="L14" s="2">
        <f t="shared" si="2"/>
        <v>0.52173913043478259</v>
      </c>
      <c r="M14">
        <f>SUM(M2:M13)</f>
        <v>18</v>
      </c>
      <c r="N14">
        <f>SUM(N2:N13)</f>
        <v>81</v>
      </c>
    </row>
    <row r="15" spans="1:19" ht="15.75" customHeight="1" x14ac:dyDescent="0.2">
      <c r="A15">
        <v>2</v>
      </c>
      <c r="B15" t="s">
        <v>19</v>
      </c>
      <c r="C15">
        <v>1</v>
      </c>
      <c r="D15">
        <v>9</v>
      </c>
      <c r="E15">
        <v>12</v>
      </c>
      <c r="F15" s="2">
        <f t="shared" si="0"/>
        <v>0.75</v>
      </c>
      <c r="G15">
        <v>0</v>
      </c>
      <c r="H15">
        <v>2</v>
      </c>
      <c r="I15" s="2">
        <f t="shared" si="1"/>
        <v>0</v>
      </c>
      <c r="J15">
        <v>8</v>
      </c>
      <c r="K15">
        <v>12</v>
      </c>
      <c r="L15" s="2">
        <f t="shared" si="2"/>
        <v>0.66666666666666663</v>
      </c>
      <c r="M15">
        <v>1</v>
      </c>
      <c r="N15">
        <f t="shared" ref="N15:N26" si="4">D15*2+G15*3+J15</f>
        <v>26</v>
      </c>
    </row>
    <row r="16" spans="1:19" ht="15.75" customHeight="1" x14ac:dyDescent="0.2">
      <c r="A16">
        <v>2</v>
      </c>
      <c r="B16" t="s">
        <v>20</v>
      </c>
      <c r="C16">
        <v>1</v>
      </c>
      <c r="D16">
        <v>2</v>
      </c>
      <c r="E16">
        <v>4</v>
      </c>
      <c r="F16" s="2">
        <f t="shared" si="0"/>
        <v>0.5</v>
      </c>
      <c r="G16">
        <v>1</v>
      </c>
      <c r="H16">
        <v>4</v>
      </c>
      <c r="I16" s="2">
        <f t="shared" si="1"/>
        <v>0.25</v>
      </c>
      <c r="J16">
        <v>0</v>
      </c>
      <c r="K16">
        <v>2</v>
      </c>
      <c r="L16" s="2">
        <f t="shared" si="2"/>
        <v>0</v>
      </c>
      <c r="M16">
        <v>1</v>
      </c>
      <c r="N16">
        <f t="shared" si="4"/>
        <v>7</v>
      </c>
    </row>
    <row r="17" spans="1:14" ht="15.75" customHeight="1" x14ac:dyDescent="0.2">
      <c r="A17">
        <v>2</v>
      </c>
      <c r="B17" t="s">
        <v>21</v>
      </c>
      <c r="C17">
        <v>1</v>
      </c>
      <c r="D17">
        <v>2</v>
      </c>
      <c r="E17">
        <v>2</v>
      </c>
      <c r="F17" s="2">
        <f t="shared" si="0"/>
        <v>1</v>
      </c>
      <c r="G17">
        <v>2</v>
      </c>
      <c r="H17">
        <v>7</v>
      </c>
      <c r="I17" s="2">
        <f t="shared" si="1"/>
        <v>0.2857142857142857</v>
      </c>
      <c r="J17">
        <v>2</v>
      </c>
      <c r="K17">
        <v>2</v>
      </c>
      <c r="L17" s="2">
        <f t="shared" si="2"/>
        <v>1</v>
      </c>
      <c r="M17">
        <v>1</v>
      </c>
      <c r="N17">
        <f t="shared" si="4"/>
        <v>12</v>
      </c>
    </row>
    <row r="18" spans="1:14" ht="15.75" customHeight="1" x14ac:dyDescent="0.2">
      <c r="A18">
        <v>2</v>
      </c>
      <c r="B18" t="s">
        <v>22</v>
      </c>
      <c r="C18">
        <v>1</v>
      </c>
      <c r="D18">
        <v>2</v>
      </c>
      <c r="E18">
        <v>5</v>
      </c>
      <c r="F18" s="2">
        <f t="shared" si="0"/>
        <v>0.4</v>
      </c>
      <c r="G18">
        <v>0</v>
      </c>
      <c r="H18">
        <v>6</v>
      </c>
      <c r="I18" s="2">
        <f t="shared" si="1"/>
        <v>0</v>
      </c>
      <c r="J18">
        <v>0</v>
      </c>
      <c r="K18">
        <v>1</v>
      </c>
      <c r="L18" s="2">
        <f t="shared" si="2"/>
        <v>0</v>
      </c>
      <c r="M18">
        <v>0</v>
      </c>
      <c r="N18">
        <f t="shared" si="4"/>
        <v>4</v>
      </c>
    </row>
    <row r="19" spans="1:14" ht="15.75" customHeight="1" x14ac:dyDescent="0.2">
      <c r="A19">
        <v>2</v>
      </c>
      <c r="B19" t="s">
        <v>23</v>
      </c>
      <c r="C19">
        <v>1</v>
      </c>
      <c r="D19">
        <v>0</v>
      </c>
      <c r="E19">
        <v>2</v>
      </c>
      <c r="F19" s="2">
        <f t="shared" si="0"/>
        <v>0</v>
      </c>
      <c r="G19">
        <v>0</v>
      </c>
      <c r="H19">
        <v>0</v>
      </c>
      <c r="I19" s="2">
        <f t="shared" si="1"/>
        <v>0</v>
      </c>
      <c r="J19">
        <v>2</v>
      </c>
      <c r="K19">
        <v>2</v>
      </c>
      <c r="L19" s="2">
        <f t="shared" si="2"/>
        <v>1</v>
      </c>
      <c r="M19">
        <v>0</v>
      </c>
      <c r="N19">
        <f t="shared" si="4"/>
        <v>2</v>
      </c>
    </row>
    <row r="20" spans="1:14" ht="15.75" customHeight="1" x14ac:dyDescent="0.2">
      <c r="A20">
        <v>2</v>
      </c>
      <c r="B20" t="s">
        <v>24</v>
      </c>
      <c r="C20">
        <v>0</v>
      </c>
      <c r="D20">
        <v>1</v>
      </c>
      <c r="E20">
        <v>3</v>
      </c>
      <c r="F20" s="2">
        <f t="shared" si="0"/>
        <v>0.33333333333333331</v>
      </c>
      <c r="G20">
        <v>0</v>
      </c>
      <c r="H20">
        <v>0</v>
      </c>
      <c r="I20" s="2">
        <f t="shared" si="1"/>
        <v>0</v>
      </c>
      <c r="J20">
        <v>3</v>
      </c>
      <c r="K20">
        <v>10</v>
      </c>
      <c r="L20" s="2">
        <f t="shared" si="2"/>
        <v>0.3</v>
      </c>
      <c r="M20">
        <v>2</v>
      </c>
      <c r="N20">
        <f t="shared" si="4"/>
        <v>5</v>
      </c>
    </row>
    <row r="21" spans="1:14" ht="15.75" customHeight="1" x14ac:dyDescent="0.2">
      <c r="A21">
        <v>2</v>
      </c>
      <c r="B21" t="s">
        <v>25</v>
      </c>
      <c r="C21">
        <v>0</v>
      </c>
      <c r="D21">
        <v>1</v>
      </c>
      <c r="E21">
        <v>2</v>
      </c>
      <c r="F21" s="2">
        <f t="shared" si="0"/>
        <v>0.5</v>
      </c>
      <c r="G21">
        <v>1</v>
      </c>
      <c r="H21">
        <v>5</v>
      </c>
      <c r="I21" s="2">
        <f t="shared" si="1"/>
        <v>0.2</v>
      </c>
      <c r="J21">
        <v>0</v>
      </c>
      <c r="K21">
        <v>0</v>
      </c>
      <c r="L21" s="2">
        <f t="shared" si="2"/>
        <v>0</v>
      </c>
      <c r="M21">
        <v>2</v>
      </c>
      <c r="N21">
        <f t="shared" si="4"/>
        <v>5</v>
      </c>
    </row>
    <row r="22" spans="1:14" ht="15.75" customHeight="1" x14ac:dyDescent="0.2">
      <c r="A22">
        <v>2</v>
      </c>
      <c r="B22" t="s">
        <v>26</v>
      </c>
      <c r="C22">
        <v>0</v>
      </c>
      <c r="D22">
        <v>3</v>
      </c>
      <c r="E22">
        <v>4</v>
      </c>
      <c r="F22" s="2">
        <f t="shared" si="0"/>
        <v>0.75</v>
      </c>
      <c r="G22">
        <v>2</v>
      </c>
      <c r="H22">
        <v>4</v>
      </c>
      <c r="I22" s="2">
        <f t="shared" si="1"/>
        <v>0.5</v>
      </c>
      <c r="J22">
        <v>0</v>
      </c>
      <c r="K22">
        <v>0</v>
      </c>
      <c r="L22" s="2">
        <f t="shared" si="2"/>
        <v>0</v>
      </c>
      <c r="M22">
        <v>0</v>
      </c>
      <c r="N22">
        <f t="shared" si="4"/>
        <v>12</v>
      </c>
    </row>
    <row r="23" spans="1:14" ht="15.75" customHeight="1" x14ac:dyDescent="0.2">
      <c r="A23">
        <v>2</v>
      </c>
      <c r="B23" t="s">
        <v>27</v>
      </c>
      <c r="C23">
        <v>0</v>
      </c>
      <c r="D23">
        <v>0</v>
      </c>
      <c r="E23">
        <v>1</v>
      </c>
      <c r="F23" s="2">
        <f t="shared" si="0"/>
        <v>0</v>
      </c>
      <c r="G23">
        <v>0</v>
      </c>
      <c r="H23">
        <v>0</v>
      </c>
      <c r="I23" s="2">
        <f t="shared" si="1"/>
        <v>0</v>
      </c>
      <c r="J23">
        <v>0</v>
      </c>
      <c r="K23">
        <v>0</v>
      </c>
      <c r="L23" s="2">
        <f t="shared" si="2"/>
        <v>0</v>
      </c>
      <c r="M23">
        <v>1</v>
      </c>
      <c r="N23">
        <f t="shared" si="4"/>
        <v>0</v>
      </c>
    </row>
    <row r="24" spans="1:14" ht="15.75" customHeight="1" x14ac:dyDescent="0.2">
      <c r="A24">
        <v>2</v>
      </c>
      <c r="B24" t="s">
        <v>28</v>
      </c>
      <c r="C24">
        <v>0</v>
      </c>
      <c r="D24">
        <v>0</v>
      </c>
      <c r="E24">
        <v>1</v>
      </c>
      <c r="F24" s="2">
        <f t="shared" si="0"/>
        <v>0</v>
      </c>
      <c r="G24">
        <v>0</v>
      </c>
      <c r="H24">
        <v>1</v>
      </c>
      <c r="I24" s="2">
        <f t="shared" si="1"/>
        <v>0</v>
      </c>
      <c r="J24">
        <v>0</v>
      </c>
      <c r="K24">
        <v>0</v>
      </c>
      <c r="L24" s="2">
        <f t="shared" si="2"/>
        <v>0</v>
      </c>
      <c r="M24">
        <v>0</v>
      </c>
      <c r="N24">
        <f t="shared" si="4"/>
        <v>0</v>
      </c>
    </row>
    <row r="25" spans="1:14" ht="15.75" customHeight="1" x14ac:dyDescent="0.2">
      <c r="A25">
        <v>2</v>
      </c>
      <c r="B25" t="s">
        <v>29</v>
      </c>
      <c r="C25">
        <v>0</v>
      </c>
      <c r="D25">
        <v>0</v>
      </c>
      <c r="E25">
        <v>0</v>
      </c>
      <c r="F25" s="2">
        <f t="shared" si="0"/>
        <v>0</v>
      </c>
      <c r="G25">
        <v>0</v>
      </c>
      <c r="H25">
        <v>0</v>
      </c>
      <c r="I25" s="2">
        <f t="shared" si="1"/>
        <v>0</v>
      </c>
      <c r="J25">
        <v>0</v>
      </c>
      <c r="K25">
        <v>0</v>
      </c>
      <c r="L25" s="2">
        <f t="shared" si="2"/>
        <v>0</v>
      </c>
      <c r="M25">
        <v>0</v>
      </c>
      <c r="N25">
        <f t="shared" si="4"/>
        <v>0</v>
      </c>
    </row>
    <row r="26" spans="1:14" ht="15.75" customHeight="1" x14ac:dyDescent="0.2">
      <c r="A26">
        <v>2</v>
      </c>
      <c r="B26" t="s">
        <v>30</v>
      </c>
      <c r="C26">
        <v>0</v>
      </c>
      <c r="D26">
        <v>1</v>
      </c>
      <c r="E26">
        <v>1</v>
      </c>
      <c r="F26" s="2">
        <f t="shared" si="0"/>
        <v>1</v>
      </c>
      <c r="G26">
        <v>0</v>
      </c>
      <c r="H26">
        <v>0</v>
      </c>
      <c r="I26" s="2">
        <f t="shared" si="1"/>
        <v>0</v>
      </c>
      <c r="J26">
        <v>0</v>
      </c>
      <c r="K26">
        <v>0</v>
      </c>
      <c r="L26" s="2">
        <f t="shared" si="2"/>
        <v>0</v>
      </c>
      <c r="M26">
        <v>0</v>
      </c>
      <c r="N26">
        <f t="shared" si="4"/>
        <v>2</v>
      </c>
    </row>
    <row r="27" spans="1:14" ht="15.75" customHeight="1" x14ac:dyDescent="0.2">
      <c r="A27">
        <v>2</v>
      </c>
      <c r="B27" t="s">
        <v>31</v>
      </c>
      <c r="C27">
        <f>SUM(C15:C26)</f>
        <v>5</v>
      </c>
      <c r="D27">
        <f>SUM(D15:D26)</f>
        <v>21</v>
      </c>
      <c r="E27">
        <f>SUM(E15:E26)</f>
        <v>37</v>
      </c>
      <c r="F27" s="2">
        <f t="shared" si="0"/>
        <v>0.56756756756756754</v>
      </c>
      <c r="G27">
        <f>SUM(G15:G26)</f>
        <v>6</v>
      </c>
      <c r="H27">
        <f>SUM(H15:H26)</f>
        <v>29</v>
      </c>
      <c r="I27" s="2">
        <f t="shared" si="1"/>
        <v>0.20689655172413793</v>
      </c>
      <c r="J27">
        <f>SUM(J15:J26)</f>
        <v>15</v>
      </c>
      <c r="K27">
        <f>SUM(K15:K26)</f>
        <v>29</v>
      </c>
      <c r="L27" s="2">
        <f t="shared" si="2"/>
        <v>0.51724137931034486</v>
      </c>
      <c r="M27">
        <f>SUM(M15:M26)</f>
        <v>8</v>
      </c>
      <c r="N27">
        <f>SUM(N15:N26)</f>
        <v>75</v>
      </c>
    </row>
    <row r="28" spans="1:14" ht="15.75" customHeight="1" x14ac:dyDescent="0.2">
      <c r="A28">
        <v>3</v>
      </c>
      <c r="B28" t="s">
        <v>19</v>
      </c>
      <c r="C28">
        <v>1</v>
      </c>
      <c r="D28">
        <v>4</v>
      </c>
      <c r="E28">
        <v>12</v>
      </c>
      <c r="F28" s="2">
        <f t="shared" si="0"/>
        <v>0.33333333333333331</v>
      </c>
      <c r="G28">
        <v>0</v>
      </c>
      <c r="H28">
        <v>1</v>
      </c>
      <c r="I28" s="2">
        <f t="shared" si="1"/>
        <v>0</v>
      </c>
      <c r="J28">
        <v>4</v>
      </c>
      <c r="K28">
        <v>4</v>
      </c>
      <c r="L28" s="2">
        <f t="shared" si="2"/>
        <v>1</v>
      </c>
      <c r="M28">
        <v>1</v>
      </c>
      <c r="N28">
        <f t="shared" ref="N28:N39" si="5">D28*2+G28*3+J28</f>
        <v>12</v>
      </c>
    </row>
    <row r="29" spans="1:14" ht="15.75" customHeight="1" x14ac:dyDescent="0.2">
      <c r="A29">
        <v>3</v>
      </c>
      <c r="B29" t="s">
        <v>20</v>
      </c>
      <c r="C29">
        <v>1</v>
      </c>
      <c r="D29">
        <v>1</v>
      </c>
      <c r="E29">
        <v>2</v>
      </c>
      <c r="F29" s="2">
        <f t="shared" si="0"/>
        <v>0.5</v>
      </c>
      <c r="G29">
        <v>1</v>
      </c>
      <c r="H29">
        <v>7</v>
      </c>
      <c r="I29" s="2">
        <f t="shared" si="1"/>
        <v>0.14285714285714285</v>
      </c>
      <c r="J29">
        <v>3</v>
      </c>
      <c r="K29">
        <v>4</v>
      </c>
      <c r="L29" s="2">
        <f t="shared" si="2"/>
        <v>0.75</v>
      </c>
      <c r="M29">
        <v>3</v>
      </c>
      <c r="N29">
        <f t="shared" si="5"/>
        <v>8</v>
      </c>
    </row>
    <row r="30" spans="1:14" ht="15.75" customHeight="1" x14ac:dyDescent="0.2">
      <c r="A30">
        <v>3</v>
      </c>
      <c r="B30" t="s">
        <v>21</v>
      </c>
      <c r="C30">
        <v>1</v>
      </c>
      <c r="D30">
        <v>1</v>
      </c>
      <c r="E30">
        <v>3</v>
      </c>
      <c r="F30" s="2">
        <f t="shared" si="0"/>
        <v>0.33333333333333331</v>
      </c>
      <c r="G30">
        <v>2</v>
      </c>
      <c r="H30">
        <v>5</v>
      </c>
      <c r="I30" s="2">
        <f t="shared" si="1"/>
        <v>0.4</v>
      </c>
      <c r="J30">
        <v>0</v>
      </c>
      <c r="K30">
        <v>0</v>
      </c>
      <c r="L30" s="2">
        <f t="shared" si="2"/>
        <v>0</v>
      </c>
      <c r="M30">
        <v>3</v>
      </c>
      <c r="N30">
        <f t="shared" si="5"/>
        <v>8</v>
      </c>
    </row>
    <row r="31" spans="1:14" ht="15.75" customHeight="1" x14ac:dyDescent="0.2">
      <c r="A31">
        <v>3</v>
      </c>
      <c r="B31" t="s">
        <v>22</v>
      </c>
      <c r="C31">
        <v>1</v>
      </c>
      <c r="D31">
        <v>2</v>
      </c>
      <c r="E31">
        <v>8</v>
      </c>
      <c r="F31" s="2">
        <f t="shared" si="0"/>
        <v>0.25</v>
      </c>
      <c r="G31">
        <v>0</v>
      </c>
      <c r="H31">
        <v>5</v>
      </c>
      <c r="I31" s="2">
        <f t="shared" si="1"/>
        <v>0</v>
      </c>
      <c r="J31">
        <v>1</v>
      </c>
      <c r="K31">
        <v>4</v>
      </c>
      <c r="L31" s="2">
        <f t="shared" si="2"/>
        <v>0.25</v>
      </c>
      <c r="M31">
        <v>2</v>
      </c>
      <c r="N31">
        <f t="shared" si="5"/>
        <v>5</v>
      </c>
    </row>
    <row r="32" spans="1:14" ht="15.75" customHeight="1" x14ac:dyDescent="0.2">
      <c r="A32">
        <v>3</v>
      </c>
      <c r="B32" t="s">
        <v>23</v>
      </c>
      <c r="C32">
        <v>1</v>
      </c>
      <c r="D32">
        <v>4</v>
      </c>
      <c r="E32">
        <v>8</v>
      </c>
      <c r="F32" s="2">
        <f t="shared" si="0"/>
        <v>0.5</v>
      </c>
      <c r="G32">
        <v>0</v>
      </c>
      <c r="H32">
        <v>0</v>
      </c>
      <c r="I32" s="2">
        <f t="shared" si="1"/>
        <v>0</v>
      </c>
      <c r="J32">
        <v>1</v>
      </c>
      <c r="K32">
        <v>4</v>
      </c>
      <c r="L32" s="2">
        <f t="shared" si="2"/>
        <v>0.25</v>
      </c>
      <c r="M32">
        <v>5</v>
      </c>
      <c r="N32">
        <f t="shared" si="5"/>
        <v>9</v>
      </c>
    </row>
    <row r="33" spans="1:18" ht="15.75" customHeight="1" x14ac:dyDescent="0.2">
      <c r="A33">
        <v>3</v>
      </c>
      <c r="B33" t="s">
        <v>24</v>
      </c>
      <c r="C33">
        <v>0</v>
      </c>
      <c r="D33">
        <v>0</v>
      </c>
      <c r="E33">
        <v>3</v>
      </c>
      <c r="F33" s="2">
        <f t="shared" si="0"/>
        <v>0</v>
      </c>
      <c r="G33">
        <v>0</v>
      </c>
      <c r="H33">
        <v>1</v>
      </c>
      <c r="I33" s="2">
        <f t="shared" si="1"/>
        <v>0</v>
      </c>
      <c r="J33">
        <v>0</v>
      </c>
      <c r="K33">
        <v>0</v>
      </c>
      <c r="L33" s="2">
        <f t="shared" si="2"/>
        <v>0</v>
      </c>
      <c r="M33">
        <v>2</v>
      </c>
      <c r="N33">
        <f t="shared" si="5"/>
        <v>0</v>
      </c>
    </row>
    <row r="34" spans="1:18" ht="15.75" customHeight="1" x14ac:dyDescent="0.2">
      <c r="A34">
        <v>3</v>
      </c>
      <c r="B34" t="s">
        <v>25</v>
      </c>
      <c r="C34">
        <v>0</v>
      </c>
      <c r="D34">
        <v>0</v>
      </c>
      <c r="E34">
        <v>0</v>
      </c>
      <c r="F34" s="2">
        <f t="shared" ref="F34:F65" si="6">IF(D34=0,0,D34/E34)</f>
        <v>0</v>
      </c>
      <c r="G34">
        <v>1</v>
      </c>
      <c r="H34">
        <v>5</v>
      </c>
      <c r="I34" s="2">
        <f t="shared" ref="I34:I65" si="7">IF(G34=0,0,G34/H34)</f>
        <v>0.2</v>
      </c>
      <c r="J34">
        <v>0</v>
      </c>
      <c r="K34">
        <v>0</v>
      </c>
      <c r="L34" s="2">
        <f t="shared" ref="L34:L65" si="8">IF(J34=0,0,J34/K34)</f>
        <v>0</v>
      </c>
      <c r="M34">
        <v>1</v>
      </c>
      <c r="N34">
        <f t="shared" si="5"/>
        <v>3</v>
      </c>
    </row>
    <row r="35" spans="1:18" ht="15.75" customHeight="1" x14ac:dyDescent="0.2">
      <c r="A35">
        <v>3</v>
      </c>
      <c r="B35" t="s">
        <v>26</v>
      </c>
      <c r="C35">
        <v>0</v>
      </c>
      <c r="D35">
        <v>0</v>
      </c>
      <c r="E35">
        <v>2</v>
      </c>
      <c r="F35" s="2">
        <f t="shared" si="6"/>
        <v>0</v>
      </c>
      <c r="G35">
        <v>0</v>
      </c>
      <c r="H35">
        <v>2</v>
      </c>
      <c r="I35" s="2">
        <f t="shared" si="7"/>
        <v>0</v>
      </c>
      <c r="J35">
        <v>0</v>
      </c>
      <c r="K35">
        <v>0</v>
      </c>
      <c r="L35" s="2">
        <f t="shared" si="8"/>
        <v>0</v>
      </c>
      <c r="M35">
        <v>0</v>
      </c>
      <c r="N35">
        <f t="shared" si="5"/>
        <v>0</v>
      </c>
    </row>
    <row r="36" spans="1:18" ht="15.75" customHeight="1" x14ac:dyDescent="0.2">
      <c r="A36">
        <v>3</v>
      </c>
      <c r="B36" t="s">
        <v>27</v>
      </c>
      <c r="C36">
        <v>0</v>
      </c>
      <c r="D36">
        <v>0</v>
      </c>
      <c r="E36">
        <v>0</v>
      </c>
      <c r="F36" s="2">
        <f t="shared" si="6"/>
        <v>0</v>
      </c>
      <c r="G36">
        <v>0</v>
      </c>
      <c r="H36">
        <v>1</v>
      </c>
      <c r="I36" s="2">
        <f t="shared" si="7"/>
        <v>0</v>
      </c>
      <c r="J36">
        <v>0</v>
      </c>
      <c r="K36">
        <v>0</v>
      </c>
      <c r="L36" s="2">
        <f t="shared" si="8"/>
        <v>0</v>
      </c>
      <c r="M36">
        <v>2</v>
      </c>
      <c r="N36">
        <f t="shared" si="5"/>
        <v>0</v>
      </c>
    </row>
    <row r="37" spans="1:18" ht="15.75" customHeight="1" x14ac:dyDescent="0.2">
      <c r="A37">
        <v>3</v>
      </c>
      <c r="B37" t="s">
        <v>28</v>
      </c>
      <c r="C37">
        <v>0</v>
      </c>
      <c r="D37">
        <v>0</v>
      </c>
      <c r="E37">
        <v>1</v>
      </c>
      <c r="F37" s="2">
        <f t="shared" si="6"/>
        <v>0</v>
      </c>
      <c r="G37">
        <v>0</v>
      </c>
      <c r="H37">
        <v>0</v>
      </c>
      <c r="I37" s="2">
        <f t="shared" si="7"/>
        <v>0</v>
      </c>
      <c r="J37">
        <v>0</v>
      </c>
      <c r="K37">
        <v>0</v>
      </c>
      <c r="L37" s="2">
        <f t="shared" si="8"/>
        <v>0</v>
      </c>
      <c r="M37">
        <v>2</v>
      </c>
      <c r="N37">
        <f t="shared" si="5"/>
        <v>0</v>
      </c>
    </row>
    <row r="38" spans="1:18" ht="15.75" customHeight="1" x14ac:dyDescent="0.2">
      <c r="A38">
        <v>3</v>
      </c>
      <c r="B38" t="s">
        <v>29</v>
      </c>
      <c r="C38">
        <v>0</v>
      </c>
      <c r="D38">
        <v>0</v>
      </c>
      <c r="E38">
        <v>0</v>
      </c>
      <c r="F38" s="2">
        <f t="shared" si="6"/>
        <v>0</v>
      </c>
      <c r="G38">
        <v>0</v>
      </c>
      <c r="H38">
        <v>0</v>
      </c>
      <c r="I38" s="2">
        <f t="shared" si="7"/>
        <v>0</v>
      </c>
      <c r="J38">
        <v>0</v>
      </c>
      <c r="K38">
        <v>0</v>
      </c>
      <c r="L38" s="2">
        <f t="shared" si="8"/>
        <v>0</v>
      </c>
      <c r="M38">
        <v>0</v>
      </c>
      <c r="N38">
        <f t="shared" si="5"/>
        <v>0</v>
      </c>
    </row>
    <row r="39" spans="1:18" ht="15.75" customHeight="1" x14ac:dyDescent="0.2">
      <c r="A39">
        <v>3</v>
      </c>
      <c r="B39" t="s">
        <v>30</v>
      </c>
      <c r="C39">
        <v>0</v>
      </c>
      <c r="D39">
        <v>0</v>
      </c>
      <c r="E39">
        <v>0</v>
      </c>
      <c r="F39" s="2">
        <f t="shared" si="6"/>
        <v>0</v>
      </c>
      <c r="G39">
        <v>0</v>
      </c>
      <c r="H39">
        <v>0</v>
      </c>
      <c r="I39" s="2">
        <f t="shared" si="7"/>
        <v>0</v>
      </c>
      <c r="J39">
        <v>1</v>
      </c>
      <c r="K39">
        <v>2</v>
      </c>
      <c r="L39" s="2">
        <f t="shared" si="8"/>
        <v>0.5</v>
      </c>
      <c r="M39">
        <v>0</v>
      </c>
      <c r="N39">
        <f t="shared" si="5"/>
        <v>1</v>
      </c>
    </row>
    <row r="40" spans="1:18" ht="15.75" customHeight="1" x14ac:dyDescent="0.2">
      <c r="A40">
        <v>3</v>
      </c>
      <c r="B40" t="s">
        <v>31</v>
      </c>
      <c r="C40">
        <f>SUM(C28:C39)</f>
        <v>5</v>
      </c>
      <c r="D40">
        <f>SUM(D28:D39)</f>
        <v>12</v>
      </c>
      <c r="E40">
        <f>SUM(E28:E39)</f>
        <v>39</v>
      </c>
      <c r="F40" s="2">
        <f t="shared" si="6"/>
        <v>0.30769230769230771</v>
      </c>
      <c r="G40">
        <f>SUM(G28:G39)</f>
        <v>4</v>
      </c>
      <c r="H40">
        <f>SUM(H28:H39)</f>
        <v>27</v>
      </c>
      <c r="I40" s="2">
        <f t="shared" si="7"/>
        <v>0.14814814814814814</v>
      </c>
      <c r="J40">
        <f>SUM(J28:J39)</f>
        <v>10</v>
      </c>
      <c r="K40">
        <f>SUM(K28:K39)</f>
        <v>18</v>
      </c>
      <c r="L40" s="2">
        <f t="shared" si="8"/>
        <v>0.55555555555555558</v>
      </c>
      <c r="M40">
        <f>SUM(M28:M39)</f>
        <v>21</v>
      </c>
      <c r="N40">
        <f>SUM(N28:N39)</f>
        <v>46</v>
      </c>
    </row>
    <row r="41" spans="1:18" ht="15.75" customHeight="1" x14ac:dyDescent="0.2">
      <c r="A41">
        <v>4</v>
      </c>
      <c r="B41" t="s">
        <v>19</v>
      </c>
      <c r="C41">
        <v>1</v>
      </c>
      <c r="D41">
        <v>8</v>
      </c>
      <c r="E41">
        <v>14</v>
      </c>
      <c r="F41" s="2">
        <f t="shared" si="6"/>
        <v>0.5714285714285714</v>
      </c>
      <c r="G41">
        <v>0</v>
      </c>
      <c r="H41">
        <v>2</v>
      </c>
      <c r="I41" s="2">
        <f t="shared" si="7"/>
        <v>0</v>
      </c>
      <c r="J41">
        <v>5</v>
      </c>
      <c r="K41">
        <v>9</v>
      </c>
      <c r="L41" s="2">
        <f t="shared" si="8"/>
        <v>0.55555555555555558</v>
      </c>
      <c r="M41">
        <v>1</v>
      </c>
      <c r="N41">
        <f t="shared" ref="N41:N52" si="9">D41*2+G41*3+J41</f>
        <v>21</v>
      </c>
      <c r="O41">
        <v>5</v>
      </c>
      <c r="P41">
        <v>1</v>
      </c>
      <c r="Q41" s="6">
        <v>1</v>
      </c>
      <c r="R41">
        <v>1</v>
      </c>
    </row>
    <row r="42" spans="1:18" ht="15.75" customHeight="1" x14ac:dyDescent="0.2">
      <c r="A42">
        <v>4</v>
      </c>
      <c r="B42" t="s">
        <v>20</v>
      </c>
      <c r="C42">
        <v>1</v>
      </c>
      <c r="D42">
        <v>2</v>
      </c>
      <c r="E42">
        <v>2</v>
      </c>
      <c r="F42" s="2">
        <f t="shared" si="6"/>
        <v>1</v>
      </c>
      <c r="G42">
        <v>2</v>
      </c>
      <c r="H42">
        <v>8</v>
      </c>
      <c r="I42" s="2">
        <f t="shared" si="7"/>
        <v>0.25</v>
      </c>
      <c r="J42">
        <v>0</v>
      </c>
      <c r="K42">
        <v>0</v>
      </c>
      <c r="L42" s="2">
        <f t="shared" si="8"/>
        <v>0</v>
      </c>
      <c r="M42">
        <v>3</v>
      </c>
      <c r="N42">
        <f t="shared" si="9"/>
        <v>10</v>
      </c>
      <c r="O42">
        <v>7</v>
      </c>
      <c r="P42">
        <v>3</v>
      </c>
      <c r="Q42" s="6">
        <v>2</v>
      </c>
      <c r="R42">
        <v>1</v>
      </c>
    </row>
    <row r="43" spans="1:18" ht="15.75" customHeight="1" x14ac:dyDescent="0.2">
      <c r="A43">
        <v>4</v>
      </c>
      <c r="B43" t="s">
        <v>21</v>
      </c>
      <c r="C43">
        <v>1</v>
      </c>
      <c r="D43">
        <v>0</v>
      </c>
      <c r="E43">
        <v>2</v>
      </c>
      <c r="F43" s="2">
        <f t="shared" si="6"/>
        <v>0</v>
      </c>
      <c r="G43">
        <v>1</v>
      </c>
      <c r="H43">
        <v>3</v>
      </c>
      <c r="I43" s="2">
        <f t="shared" si="7"/>
        <v>0.33333333333333331</v>
      </c>
      <c r="J43">
        <v>0</v>
      </c>
      <c r="K43">
        <v>0</v>
      </c>
      <c r="L43" s="2">
        <f t="shared" si="8"/>
        <v>0</v>
      </c>
      <c r="M43">
        <v>2</v>
      </c>
      <c r="N43">
        <f t="shared" si="9"/>
        <v>3</v>
      </c>
      <c r="O43">
        <v>4</v>
      </c>
      <c r="P43">
        <v>1</v>
      </c>
      <c r="Q43" s="6">
        <v>0</v>
      </c>
      <c r="R43">
        <v>4</v>
      </c>
    </row>
    <row r="44" spans="1:18" ht="15.75" customHeight="1" x14ac:dyDescent="0.2">
      <c r="A44">
        <v>4</v>
      </c>
      <c r="B44" t="s">
        <v>22</v>
      </c>
      <c r="C44">
        <v>0</v>
      </c>
      <c r="D44">
        <v>5</v>
      </c>
      <c r="E44">
        <v>10</v>
      </c>
      <c r="F44" s="2">
        <f t="shared" si="6"/>
        <v>0.5</v>
      </c>
      <c r="G44">
        <v>1</v>
      </c>
      <c r="H44">
        <v>4</v>
      </c>
      <c r="I44" s="2">
        <f t="shared" si="7"/>
        <v>0.25</v>
      </c>
      <c r="J44">
        <v>0</v>
      </c>
      <c r="K44">
        <v>6</v>
      </c>
      <c r="L44" s="2">
        <f t="shared" si="8"/>
        <v>0</v>
      </c>
      <c r="M44">
        <v>2</v>
      </c>
      <c r="N44">
        <f t="shared" si="9"/>
        <v>13</v>
      </c>
      <c r="O44">
        <v>7</v>
      </c>
      <c r="P44">
        <v>0</v>
      </c>
      <c r="Q44" s="6">
        <v>1</v>
      </c>
      <c r="R44">
        <v>2</v>
      </c>
    </row>
    <row r="45" spans="1:18" ht="15.75" customHeight="1" x14ac:dyDescent="0.2">
      <c r="A45">
        <v>4</v>
      </c>
      <c r="B45" t="s">
        <v>23</v>
      </c>
      <c r="C45">
        <v>1</v>
      </c>
      <c r="D45">
        <v>2</v>
      </c>
      <c r="E45">
        <v>7</v>
      </c>
      <c r="F45" s="2">
        <f t="shared" si="6"/>
        <v>0.2857142857142857</v>
      </c>
      <c r="G45">
        <v>2</v>
      </c>
      <c r="H45">
        <v>3</v>
      </c>
      <c r="I45" s="2">
        <f t="shared" si="7"/>
        <v>0.66666666666666663</v>
      </c>
      <c r="J45">
        <v>1</v>
      </c>
      <c r="K45">
        <v>4</v>
      </c>
      <c r="L45" s="2">
        <f t="shared" si="8"/>
        <v>0.25</v>
      </c>
      <c r="M45">
        <v>4</v>
      </c>
      <c r="N45">
        <f t="shared" si="9"/>
        <v>11</v>
      </c>
      <c r="O45">
        <v>6</v>
      </c>
      <c r="P45">
        <v>1</v>
      </c>
      <c r="Q45" s="6">
        <v>0</v>
      </c>
      <c r="R45">
        <v>1</v>
      </c>
    </row>
    <row r="46" spans="1:18" ht="15.75" customHeight="1" x14ac:dyDescent="0.2">
      <c r="A46">
        <v>4</v>
      </c>
      <c r="B46" t="s">
        <v>24</v>
      </c>
      <c r="C46">
        <v>0</v>
      </c>
      <c r="D46">
        <v>2</v>
      </c>
      <c r="E46">
        <v>5</v>
      </c>
      <c r="F46" s="2">
        <f t="shared" si="6"/>
        <v>0.4</v>
      </c>
      <c r="G46">
        <v>0</v>
      </c>
      <c r="H46">
        <v>1</v>
      </c>
      <c r="I46" s="2">
        <f t="shared" si="7"/>
        <v>0</v>
      </c>
      <c r="J46">
        <v>0</v>
      </c>
      <c r="K46">
        <v>0</v>
      </c>
      <c r="L46" s="2">
        <f t="shared" si="8"/>
        <v>0</v>
      </c>
      <c r="M46">
        <v>2</v>
      </c>
      <c r="N46">
        <f t="shared" si="9"/>
        <v>4</v>
      </c>
      <c r="O46">
        <v>2</v>
      </c>
      <c r="P46">
        <v>0</v>
      </c>
      <c r="Q46" s="6">
        <v>0</v>
      </c>
      <c r="R46">
        <v>1</v>
      </c>
    </row>
    <row r="47" spans="1:18" ht="15.75" customHeight="1" x14ac:dyDescent="0.2">
      <c r="A47">
        <v>4</v>
      </c>
      <c r="B47" t="s">
        <v>25</v>
      </c>
      <c r="C47">
        <v>0</v>
      </c>
      <c r="D47">
        <v>0</v>
      </c>
      <c r="E47">
        <v>0</v>
      </c>
      <c r="F47" s="2">
        <f t="shared" si="6"/>
        <v>0</v>
      </c>
      <c r="G47">
        <v>1</v>
      </c>
      <c r="H47">
        <v>2</v>
      </c>
      <c r="I47" s="2">
        <f t="shared" si="7"/>
        <v>0.5</v>
      </c>
      <c r="J47">
        <v>0</v>
      </c>
      <c r="K47">
        <v>1</v>
      </c>
      <c r="L47" s="2">
        <f t="shared" si="8"/>
        <v>0</v>
      </c>
      <c r="M47">
        <v>0</v>
      </c>
      <c r="N47">
        <f t="shared" si="9"/>
        <v>3</v>
      </c>
      <c r="O47">
        <v>0</v>
      </c>
      <c r="P47">
        <v>0</v>
      </c>
      <c r="Q47" s="6">
        <v>0</v>
      </c>
      <c r="R47">
        <v>0</v>
      </c>
    </row>
    <row r="48" spans="1:18" ht="15.75" customHeight="1" x14ac:dyDescent="0.2">
      <c r="A48">
        <v>4</v>
      </c>
      <c r="B48" t="s">
        <v>26</v>
      </c>
      <c r="C48">
        <v>0</v>
      </c>
      <c r="D48">
        <v>1</v>
      </c>
      <c r="E48">
        <v>2</v>
      </c>
      <c r="F48" s="2">
        <f t="shared" si="6"/>
        <v>0.5</v>
      </c>
      <c r="G48">
        <v>0</v>
      </c>
      <c r="H48">
        <v>2</v>
      </c>
      <c r="I48" s="2">
        <f t="shared" si="7"/>
        <v>0</v>
      </c>
      <c r="J48">
        <v>0</v>
      </c>
      <c r="K48">
        <v>0</v>
      </c>
      <c r="L48" s="2">
        <f t="shared" si="8"/>
        <v>0</v>
      </c>
      <c r="M48">
        <v>0</v>
      </c>
      <c r="N48">
        <f t="shared" si="9"/>
        <v>2</v>
      </c>
      <c r="O48">
        <v>3</v>
      </c>
      <c r="P48">
        <v>1</v>
      </c>
      <c r="Q48" s="6">
        <v>3</v>
      </c>
      <c r="R48">
        <v>0</v>
      </c>
    </row>
    <row r="49" spans="1:19" ht="15.75" customHeight="1" x14ac:dyDescent="0.2">
      <c r="A49">
        <v>4</v>
      </c>
      <c r="B49" t="s">
        <v>27</v>
      </c>
      <c r="C49">
        <v>0</v>
      </c>
      <c r="D49">
        <v>1</v>
      </c>
      <c r="E49">
        <v>1</v>
      </c>
      <c r="F49" s="2">
        <f t="shared" si="6"/>
        <v>1</v>
      </c>
      <c r="G49">
        <v>0</v>
      </c>
      <c r="H49">
        <v>0</v>
      </c>
      <c r="I49" s="2">
        <f t="shared" si="7"/>
        <v>0</v>
      </c>
      <c r="J49">
        <v>0</v>
      </c>
      <c r="K49">
        <v>0</v>
      </c>
      <c r="L49" s="2">
        <f t="shared" si="8"/>
        <v>0</v>
      </c>
      <c r="M49">
        <v>2</v>
      </c>
      <c r="N49">
        <f t="shared" si="9"/>
        <v>2</v>
      </c>
      <c r="O49">
        <v>0</v>
      </c>
      <c r="P49">
        <v>0</v>
      </c>
      <c r="Q49" s="6">
        <v>0</v>
      </c>
      <c r="R49">
        <v>0</v>
      </c>
    </row>
    <row r="50" spans="1:19" ht="15.75" customHeight="1" x14ac:dyDescent="0.2">
      <c r="A50">
        <v>4</v>
      </c>
      <c r="B50" t="s">
        <v>28</v>
      </c>
      <c r="C50">
        <v>0</v>
      </c>
      <c r="D50">
        <v>0</v>
      </c>
      <c r="E50">
        <v>0</v>
      </c>
      <c r="F50" s="2">
        <f t="shared" si="6"/>
        <v>0</v>
      </c>
      <c r="G50">
        <v>0</v>
      </c>
      <c r="H50">
        <v>0</v>
      </c>
      <c r="I50" s="2">
        <f t="shared" si="7"/>
        <v>0</v>
      </c>
      <c r="J50">
        <v>0</v>
      </c>
      <c r="K50">
        <v>0</v>
      </c>
      <c r="L50" s="2">
        <f t="shared" si="8"/>
        <v>0</v>
      </c>
      <c r="M50">
        <v>0</v>
      </c>
      <c r="N50">
        <f t="shared" si="9"/>
        <v>0</v>
      </c>
      <c r="O50">
        <v>0</v>
      </c>
      <c r="P50">
        <v>0</v>
      </c>
      <c r="Q50" s="6">
        <v>0</v>
      </c>
      <c r="R50">
        <v>0</v>
      </c>
    </row>
    <row r="51" spans="1:19" ht="15.75" customHeight="1" x14ac:dyDescent="0.2">
      <c r="A51">
        <v>4</v>
      </c>
      <c r="B51" t="s">
        <v>29</v>
      </c>
      <c r="C51">
        <v>1</v>
      </c>
      <c r="D51">
        <v>1</v>
      </c>
      <c r="E51">
        <v>2</v>
      </c>
      <c r="F51" s="2">
        <f t="shared" si="6"/>
        <v>0.5</v>
      </c>
      <c r="G51">
        <v>0</v>
      </c>
      <c r="H51">
        <v>2</v>
      </c>
      <c r="I51" s="2">
        <f t="shared" si="7"/>
        <v>0</v>
      </c>
      <c r="J51">
        <v>1</v>
      </c>
      <c r="K51">
        <v>2</v>
      </c>
      <c r="L51" s="2">
        <f t="shared" si="8"/>
        <v>0.5</v>
      </c>
      <c r="M51">
        <v>6</v>
      </c>
      <c r="N51">
        <f t="shared" si="9"/>
        <v>3</v>
      </c>
      <c r="O51">
        <v>4</v>
      </c>
      <c r="P51">
        <v>0</v>
      </c>
      <c r="Q51" s="6">
        <v>1</v>
      </c>
      <c r="R51">
        <v>2</v>
      </c>
    </row>
    <row r="52" spans="1:19" ht="15.75" customHeight="1" x14ac:dyDescent="0.2">
      <c r="A52">
        <v>4</v>
      </c>
      <c r="B52" t="s">
        <v>30</v>
      </c>
      <c r="C52">
        <v>0</v>
      </c>
      <c r="D52">
        <v>0</v>
      </c>
      <c r="E52">
        <v>2</v>
      </c>
      <c r="F52" s="2">
        <f t="shared" si="6"/>
        <v>0</v>
      </c>
      <c r="G52">
        <v>0</v>
      </c>
      <c r="H52">
        <v>0</v>
      </c>
      <c r="I52" s="2">
        <f t="shared" si="7"/>
        <v>0</v>
      </c>
      <c r="J52">
        <v>0</v>
      </c>
      <c r="K52">
        <v>0</v>
      </c>
      <c r="L52" s="2">
        <f t="shared" si="8"/>
        <v>0</v>
      </c>
      <c r="M52">
        <v>0</v>
      </c>
      <c r="N52">
        <f t="shared" si="9"/>
        <v>0</v>
      </c>
      <c r="O52">
        <v>1</v>
      </c>
      <c r="P52">
        <v>1</v>
      </c>
      <c r="Q52" s="6">
        <v>0</v>
      </c>
      <c r="R52">
        <v>0</v>
      </c>
    </row>
    <row r="53" spans="1:19" ht="15.75" customHeight="1" x14ac:dyDescent="0.2">
      <c r="A53">
        <v>4</v>
      </c>
      <c r="B53" t="s">
        <v>31</v>
      </c>
      <c r="C53">
        <f>SUM(C41:C52)</f>
        <v>5</v>
      </c>
      <c r="D53">
        <f>SUM(D41:D52)</f>
        <v>22</v>
      </c>
      <c r="E53">
        <f>SUM(E41:E52)</f>
        <v>47</v>
      </c>
      <c r="F53" s="2">
        <f t="shared" si="6"/>
        <v>0.46808510638297873</v>
      </c>
      <c r="G53">
        <f>SUM(G41:G52)</f>
        <v>7</v>
      </c>
      <c r="H53">
        <f>SUM(H41:H52)</f>
        <v>27</v>
      </c>
      <c r="I53" s="2">
        <f t="shared" si="7"/>
        <v>0.25925925925925924</v>
      </c>
      <c r="J53">
        <f>SUM(J41:J52)</f>
        <v>7</v>
      </c>
      <c r="K53">
        <f>SUM(K41:K52)</f>
        <v>22</v>
      </c>
      <c r="L53" s="2">
        <f t="shared" si="8"/>
        <v>0.31818181818181818</v>
      </c>
      <c r="M53">
        <f t="shared" ref="M53:R53" si="10">SUM(M41:M52)</f>
        <v>22</v>
      </c>
      <c r="N53">
        <f t="shared" si="10"/>
        <v>72</v>
      </c>
      <c r="O53">
        <f t="shared" si="10"/>
        <v>39</v>
      </c>
      <c r="P53">
        <f t="shared" si="10"/>
        <v>8</v>
      </c>
      <c r="Q53" s="6">
        <f t="shared" si="10"/>
        <v>8</v>
      </c>
      <c r="R53">
        <f t="shared" si="10"/>
        <v>12</v>
      </c>
    </row>
    <row r="54" spans="1:19" ht="15.75" customHeight="1" x14ac:dyDescent="0.2">
      <c r="A54">
        <v>5</v>
      </c>
      <c r="B54" t="s">
        <v>19</v>
      </c>
      <c r="C54">
        <v>1</v>
      </c>
      <c r="D54">
        <v>8</v>
      </c>
      <c r="E54">
        <v>12</v>
      </c>
      <c r="F54" s="3">
        <f t="shared" si="6"/>
        <v>0.66666666666666663</v>
      </c>
      <c r="G54">
        <v>0</v>
      </c>
      <c r="H54">
        <v>3</v>
      </c>
      <c r="I54" s="3">
        <f t="shared" si="7"/>
        <v>0</v>
      </c>
      <c r="J54">
        <v>4</v>
      </c>
      <c r="K54">
        <v>7</v>
      </c>
      <c r="L54" s="3">
        <f t="shared" si="8"/>
        <v>0.5714285714285714</v>
      </c>
      <c r="M54">
        <v>2</v>
      </c>
      <c r="N54">
        <f t="shared" ref="N54:N65" si="11">D54*2+G54*3+J54</f>
        <v>20</v>
      </c>
      <c r="O54">
        <v>7</v>
      </c>
      <c r="P54">
        <v>1</v>
      </c>
      <c r="Q54" s="6">
        <v>3</v>
      </c>
      <c r="R54">
        <v>3</v>
      </c>
      <c r="S54">
        <v>1</v>
      </c>
    </row>
    <row r="55" spans="1:19" ht="15.75" customHeight="1" x14ac:dyDescent="0.2">
      <c r="A55">
        <v>5</v>
      </c>
      <c r="B55" t="s">
        <v>20</v>
      </c>
      <c r="C55">
        <v>1</v>
      </c>
      <c r="D55">
        <v>5</v>
      </c>
      <c r="E55">
        <v>6</v>
      </c>
      <c r="F55" s="3">
        <f t="shared" si="6"/>
        <v>0.83333333333333337</v>
      </c>
      <c r="G55">
        <v>0</v>
      </c>
      <c r="H55">
        <v>6</v>
      </c>
      <c r="I55" s="3">
        <f t="shared" si="7"/>
        <v>0</v>
      </c>
      <c r="J55">
        <v>0</v>
      </c>
      <c r="K55">
        <v>0</v>
      </c>
      <c r="L55" s="3">
        <f t="shared" si="8"/>
        <v>0</v>
      </c>
      <c r="M55">
        <v>3</v>
      </c>
      <c r="N55">
        <f t="shared" si="11"/>
        <v>10</v>
      </c>
      <c r="O55">
        <v>4</v>
      </c>
      <c r="P55">
        <v>1</v>
      </c>
      <c r="Q55" s="6">
        <v>5</v>
      </c>
      <c r="R55">
        <v>0</v>
      </c>
      <c r="S55">
        <v>1</v>
      </c>
    </row>
    <row r="56" spans="1:19" ht="15.75" customHeight="1" x14ac:dyDescent="0.2">
      <c r="A56">
        <v>5</v>
      </c>
      <c r="B56" t="s">
        <v>21</v>
      </c>
      <c r="C56">
        <v>1</v>
      </c>
      <c r="D56">
        <v>2</v>
      </c>
      <c r="E56">
        <v>4</v>
      </c>
      <c r="F56" s="3">
        <f t="shared" si="6"/>
        <v>0.5</v>
      </c>
      <c r="G56">
        <v>0</v>
      </c>
      <c r="H56">
        <v>4</v>
      </c>
      <c r="I56" s="3">
        <f t="shared" si="7"/>
        <v>0</v>
      </c>
      <c r="J56">
        <v>1</v>
      </c>
      <c r="K56">
        <v>2</v>
      </c>
      <c r="L56" s="3">
        <f t="shared" si="8"/>
        <v>0.5</v>
      </c>
      <c r="M56">
        <v>5</v>
      </c>
      <c r="N56">
        <f t="shared" si="11"/>
        <v>5</v>
      </c>
      <c r="O56">
        <v>5</v>
      </c>
      <c r="P56">
        <v>4</v>
      </c>
      <c r="Q56" s="6">
        <v>1</v>
      </c>
      <c r="R56">
        <v>1</v>
      </c>
      <c r="S56">
        <v>1</v>
      </c>
    </row>
    <row r="57" spans="1:19" ht="15.75" customHeight="1" x14ac:dyDescent="0.2">
      <c r="A57">
        <v>5</v>
      </c>
      <c r="B57" t="s">
        <v>22</v>
      </c>
      <c r="C57">
        <v>0</v>
      </c>
      <c r="D57">
        <v>4</v>
      </c>
      <c r="E57">
        <v>6</v>
      </c>
      <c r="F57" s="3">
        <f t="shared" si="6"/>
        <v>0.66666666666666663</v>
      </c>
      <c r="G57">
        <v>0</v>
      </c>
      <c r="H57">
        <v>2</v>
      </c>
      <c r="I57" s="3">
        <f t="shared" si="7"/>
        <v>0</v>
      </c>
      <c r="J57">
        <v>0</v>
      </c>
      <c r="K57">
        <v>2</v>
      </c>
      <c r="L57" s="3">
        <f t="shared" si="8"/>
        <v>0</v>
      </c>
      <c r="M57">
        <v>3</v>
      </c>
      <c r="N57">
        <f t="shared" si="11"/>
        <v>8</v>
      </c>
      <c r="O57">
        <v>1</v>
      </c>
      <c r="P57">
        <v>0</v>
      </c>
      <c r="Q57" s="6">
        <v>1</v>
      </c>
      <c r="R57">
        <v>3</v>
      </c>
      <c r="S57">
        <v>1</v>
      </c>
    </row>
    <row r="58" spans="1:19" ht="15.75" customHeight="1" x14ac:dyDescent="0.2">
      <c r="A58">
        <v>5</v>
      </c>
      <c r="B58" t="s">
        <v>23</v>
      </c>
      <c r="C58">
        <v>1</v>
      </c>
      <c r="D58">
        <v>4</v>
      </c>
      <c r="E58">
        <v>9</v>
      </c>
      <c r="F58" s="3">
        <f t="shared" si="6"/>
        <v>0.44444444444444442</v>
      </c>
      <c r="G58">
        <v>0</v>
      </c>
      <c r="H58">
        <v>2</v>
      </c>
      <c r="I58" s="3">
        <f t="shared" si="7"/>
        <v>0</v>
      </c>
      <c r="J58">
        <v>0</v>
      </c>
      <c r="K58">
        <v>2</v>
      </c>
      <c r="L58" s="3">
        <f t="shared" si="8"/>
        <v>0</v>
      </c>
      <c r="M58">
        <v>3</v>
      </c>
      <c r="N58">
        <f t="shared" si="11"/>
        <v>8</v>
      </c>
      <c r="O58">
        <v>13</v>
      </c>
      <c r="P58">
        <v>3</v>
      </c>
      <c r="Q58" s="6">
        <v>0</v>
      </c>
      <c r="R58">
        <v>4</v>
      </c>
      <c r="S58">
        <v>1</v>
      </c>
    </row>
    <row r="59" spans="1:19" ht="15.75" customHeight="1" x14ac:dyDescent="0.2">
      <c r="A59">
        <v>5</v>
      </c>
      <c r="B59" t="s">
        <v>24</v>
      </c>
      <c r="C59">
        <v>0</v>
      </c>
      <c r="D59">
        <v>5</v>
      </c>
      <c r="E59">
        <v>8</v>
      </c>
      <c r="F59" s="3">
        <f t="shared" si="6"/>
        <v>0.625</v>
      </c>
      <c r="G59">
        <v>0</v>
      </c>
      <c r="H59">
        <v>1</v>
      </c>
      <c r="I59" s="3">
        <f t="shared" si="7"/>
        <v>0</v>
      </c>
      <c r="J59">
        <v>1</v>
      </c>
      <c r="K59">
        <v>4</v>
      </c>
      <c r="L59" s="3">
        <f t="shared" si="8"/>
        <v>0.25</v>
      </c>
      <c r="M59">
        <v>4</v>
      </c>
      <c r="N59">
        <f t="shared" si="11"/>
        <v>11</v>
      </c>
      <c r="O59">
        <v>3</v>
      </c>
      <c r="P59">
        <v>1</v>
      </c>
      <c r="Q59" s="6">
        <v>0</v>
      </c>
      <c r="R59">
        <v>2</v>
      </c>
      <c r="S59">
        <v>1</v>
      </c>
    </row>
    <row r="60" spans="1:19" ht="15.75" customHeight="1" x14ac:dyDescent="0.2">
      <c r="A60">
        <v>5</v>
      </c>
      <c r="B60" t="s">
        <v>25</v>
      </c>
      <c r="C60">
        <v>0</v>
      </c>
      <c r="D60">
        <v>0</v>
      </c>
      <c r="E60">
        <v>1</v>
      </c>
      <c r="F60" s="3">
        <f t="shared" si="6"/>
        <v>0</v>
      </c>
      <c r="G60">
        <v>1</v>
      </c>
      <c r="H60">
        <v>5</v>
      </c>
      <c r="I60" s="3">
        <f t="shared" si="7"/>
        <v>0.2</v>
      </c>
      <c r="J60">
        <v>0</v>
      </c>
      <c r="K60">
        <v>0</v>
      </c>
      <c r="L60" s="3">
        <f t="shared" si="8"/>
        <v>0</v>
      </c>
      <c r="M60">
        <v>3</v>
      </c>
      <c r="N60">
        <f t="shared" si="11"/>
        <v>3</v>
      </c>
      <c r="O60">
        <v>2</v>
      </c>
      <c r="P60">
        <v>0</v>
      </c>
      <c r="Q60" s="6">
        <v>0</v>
      </c>
      <c r="R60">
        <v>1</v>
      </c>
      <c r="S60">
        <v>1</v>
      </c>
    </row>
    <row r="61" spans="1:19" ht="15.75" customHeight="1" x14ac:dyDescent="0.2">
      <c r="A61">
        <v>5</v>
      </c>
      <c r="B61" t="s">
        <v>26</v>
      </c>
      <c r="C61">
        <v>1</v>
      </c>
      <c r="D61">
        <v>1</v>
      </c>
      <c r="E61">
        <v>1</v>
      </c>
      <c r="F61" s="3">
        <f t="shared" si="6"/>
        <v>1</v>
      </c>
      <c r="G61">
        <v>0</v>
      </c>
      <c r="H61">
        <v>2</v>
      </c>
      <c r="I61" s="3">
        <f t="shared" si="7"/>
        <v>0</v>
      </c>
      <c r="J61">
        <v>0</v>
      </c>
      <c r="K61">
        <v>0</v>
      </c>
      <c r="L61" s="3">
        <f t="shared" si="8"/>
        <v>0</v>
      </c>
      <c r="M61">
        <v>4</v>
      </c>
      <c r="N61">
        <f t="shared" si="11"/>
        <v>2</v>
      </c>
      <c r="O61">
        <v>4</v>
      </c>
      <c r="P61">
        <v>0</v>
      </c>
      <c r="Q61" s="6">
        <v>0</v>
      </c>
      <c r="R61">
        <v>2</v>
      </c>
      <c r="S61">
        <v>1</v>
      </c>
    </row>
    <row r="62" spans="1:19" ht="15.75" customHeight="1" x14ac:dyDescent="0.2">
      <c r="A62">
        <v>5</v>
      </c>
      <c r="B62" t="s">
        <v>27</v>
      </c>
      <c r="C62">
        <v>0</v>
      </c>
      <c r="D62">
        <v>0</v>
      </c>
      <c r="E62">
        <v>0</v>
      </c>
      <c r="F62" s="3">
        <f t="shared" si="6"/>
        <v>0</v>
      </c>
      <c r="G62">
        <v>0</v>
      </c>
      <c r="H62">
        <v>1</v>
      </c>
      <c r="I62" s="3">
        <f t="shared" si="7"/>
        <v>0</v>
      </c>
      <c r="J62">
        <v>0</v>
      </c>
      <c r="K62">
        <v>0</v>
      </c>
      <c r="L62" s="3">
        <f t="shared" si="8"/>
        <v>0</v>
      </c>
      <c r="M62">
        <v>0</v>
      </c>
      <c r="N62">
        <f t="shared" si="11"/>
        <v>0</v>
      </c>
      <c r="O62">
        <v>2</v>
      </c>
      <c r="P62">
        <v>1</v>
      </c>
      <c r="Q62" s="6">
        <v>0</v>
      </c>
      <c r="R62">
        <v>0</v>
      </c>
      <c r="S62">
        <v>1</v>
      </c>
    </row>
    <row r="63" spans="1:19" ht="15.75" customHeight="1" x14ac:dyDescent="0.2">
      <c r="A63">
        <v>5</v>
      </c>
      <c r="B63" t="s">
        <v>28</v>
      </c>
      <c r="C63">
        <v>0</v>
      </c>
      <c r="D63">
        <v>0</v>
      </c>
      <c r="E63">
        <v>0</v>
      </c>
      <c r="F63" s="3">
        <f t="shared" si="6"/>
        <v>0</v>
      </c>
      <c r="G63">
        <v>0</v>
      </c>
      <c r="H63">
        <v>0</v>
      </c>
      <c r="I63" s="3">
        <f t="shared" si="7"/>
        <v>0</v>
      </c>
      <c r="J63">
        <v>0</v>
      </c>
      <c r="K63">
        <v>0</v>
      </c>
      <c r="L63" s="3">
        <f t="shared" si="8"/>
        <v>0</v>
      </c>
      <c r="M63">
        <v>0</v>
      </c>
      <c r="N63">
        <f t="shared" si="11"/>
        <v>0</v>
      </c>
      <c r="O63">
        <v>0</v>
      </c>
      <c r="P63">
        <v>0</v>
      </c>
      <c r="Q63" s="6">
        <v>0</v>
      </c>
      <c r="R63">
        <v>0</v>
      </c>
      <c r="S63">
        <v>1</v>
      </c>
    </row>
    <row r="64" spans="1:19" ht="15.75" customHeight="1" x14ac:dyDescent="0.2">
      <c r="A64">
        <v>5</v>
      </c>
      <c r="B64" t="s">
        <v>29</v>
      </c>
      <c r="C64">
        <v>0</v>
      </c>
      <c r="D64">
        <v>0</v>
      </c>
      <c r="E64">
        <v>0</v>
      </c>
      <c r="F64" s="3">
        <f t="shared" si="6"/>
        <v>0</v>
      </c>
      <c r="G64">
        <v>0</v>
      </c>
      <c r="H64">
        <v>0</v>
      </c>
      <c r="I64" s="3">
        <f t="shared" si="7"/>
        <v>0</v>
      </c>
      <c r="J64">
        <v>0</v>
      </c>
      <c r="K64">
        <v>0</v>
      </c>
      <c r="L64" s="3">
        <f t="shared" si="8"/>
        <v>0</v>
      </c>
      <c r="M64">
        <v>0</v>
      </c>
      <c r="N64">
        <f t="shared" si="11"/>
        <v>0</v>
      </c>
      <c r="O64">
        <v>0</v>
      </c>
      <c r="P64">
        <v>0</v>
      </c>
      <c r="Q64" s="6">
        <v>0</v>
      </c>
      <c r="R64">
        <v>0</v>
      </c>
      <c r="S64">
        <v>0</v>
      </c>
    </row>
    <row r="65" spans="1:19" ht="15.75" customHeight="1" x14ac:dyDescent="0.2">
      <c r="A65">
        <v>5</v>
      </c>
      <c r="B65" t="s">
        <v>30</v>
      </c>
      <c r="C65">
        <v>0</v>
      </c>
      <c r="D65">
        <v>0</v>
      </c>
      <c r="E65">
        <v>0</v>
      </c>
      <c r="F65" s="3">
        <f t="shared" si="6"/>
        <v>0</v>
      </c>
      <c r="G65">
        <v>0</v>
      </c>
      <c r="H65">
        <v>0</v>
      </c>
      <c r="I65" s="3">
        <f t="shared" si="7"/>
        <v>0</v>
      </c>
      <c r="J65">
        <v>0</v>
      </c>
      <c r="K65">
        <v>0</v>
      </c>
      <c r="L65" s="3">
        <f t="shared" si="8"/>
        <v>0</v>
      </c>
      <c r="M65">
        <v>0</v>
      </c>
      <c r="N65">
        <f t="shared" si="11"/>
        <v>0</v>
      </c>
      <c r="O65">
        <v>0</v>
      </c>
      <c r="P65">
        <v>0</v>
      </c>
      <c r="Q65" s="6">
        <v>0</v>
      </c>
      <c r="R65">
        <v>0</v>
      </c>
      <c r="S65">
        <v>1</v>
      </c>
    </row>
    <row r="66" spans="1:19" ht="15.75" customHeight="1" x14ac:dyDescent="0.2">
      <c r="A66">
        <v>5</v>
      </c>
      <c r="B66" t="s">
        <v>31</v>
      </c>
      <c r="C66">
        <f>SUM(C54:C65)</f>
        <v>5</v>
      </c>
      <c r="D66">
        <f>SUM(D54:D65)</f>
        <v>29</v>
      </c>
      <c r="E66">
        <f>SUM(E54:E65)</f>
        <v>47</v>
      </c>
      <c r="F66" s="3">
        <f t="shared" ref="F66:F97" si="12">IF(D66=0,0,D66/E66)</f>
        <v>0.61702127659574468</v>
      </c>
      <c r="G66">
        <f>SUM(G54:G65)</f>
        <v>1</v>
      </c>
      <c r="H66">
        <f>SUM(H54:H65)</f>
        <v>26</v>
      </c>
      <c r="I66" s="3">
        <f t="shared" ref="I66:I97" si="13">IF(G66=0,0,G66/H66)</f>
        <v>3.8461538461538464E-2</v>
      </c>
      <c r="J66">
        <f>SUM(J54:J65)</f>
        <v>6</v>
      </c>
      <c r="K66">
        <f>SUM(K54:K65)</f>
        <v>17</v>
      </c>
      <c r="L66" s="3">
        <f t="shared" ref="L66:L97" si="14">IF(J66=0,0,J66/K66)</f>
        <v>0.35294117647058826</v>
      </c>
      <c r="M66">
        <f t="shared" ref="M66:S66" si="15">SUM(M54:M65)</f>
        <v>27</v>
      </c>
      <c r="N66">
        <f t="shared" si="15"/>
        <v>67</v>
      </c>
      <c r="O66">
        <f t="shared" si="15"/>
        <v>41</v>
      </c>
      <c r="P66">
        <f t="shared" si="15"/>
        <v>11</v>
      </c>
      <c r="Q66" s="6">
        <f t="shared" si="15"/>
        <v>10</v>
      </c>
      <c r="R66">
        <f t="shared" si="15"/>
        <v>16</v>
      </c>
      <c r="S66">
        <f t="shared" si="15"/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Normal="100" workbookViewId="0">
      <selection activeCell="F5" sqref="F5"/>
    </sheetView>
  </sheetViews>
  <sheetFormatPr baseColWidth="10" defaultColWidth="10.6640625" defaultRowHeight="16" x14ac:dyDescent="0.2"/>
  <sheetData>
    <row r="1" spans="1:6" ht="15.75" customHeight="1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15.75" customHeight="1" x14ac:dyDescent="0.2">
      <c r="A2">
        <v>1</v>
      </c>
      <c r="B2" s="4">
        <v>46287</v>
      </c>
      <c r="C2" t="s">
        <v>38</v>
      </c>
      <c r="D2" t="s">
        <v>39</v>
      </c>
      <c r="E2">
        <v>81</v>
      </c>
      <c r="F2">
        <v>97</v>
      </c>
    </row>
    <row r="3" spans="1:6" ht="15.75" customHeight="1" x14ac:dyDescent="0.2">
      <c r="A3">
        <v>2</v>
      </c>
      <c r="B3" s="4">
        <v>46299</v>
      </c>
      <c r="C3" t="s">
        <v>38</v>
      </c>
      <c r="D3" t="s">
        <v>40</v>
      </c>
      <c r="E3">
        <v>75</v>
      </c>
      <c r="F3">
        <v>57</v>
      </c>
    </row>
    <row r="4" spans="1:6" ht="15.75" customHeight="1" x14ac:dyDescent="0.2">
      <c r="A4">
        <v>3</v>
      </c>
      <c r="B4" s="4">
        <v>46299</v>
      </c>
      <c r="C4" t="s">
        <v>38</v>
      </c>
      <c r="D4" t="s">
        <v>41</v>
      </c>
      <c r="E4">
        <v>46</v>
      </c>
      <c r="F4">
        <v>57</v>
      </c>
    </row>
    <row r="5" spans="1:6" ht="15.75" customHeight="1" x14ac:dyDescent="0.2">
      <c r="A5">
        <v>4</v>
      </c>
      <c r="B5" s="4">
        <v>46312</v>
      </c>
      <c r="C5" t="s">
        <v>42</v>
      </c>
      <c r="D5" t="s">
        <v>43</v>
      </c>
      <c r="E5">
        <v>72</v>
      </c>
      <c r="F5">
        <v>80</v>
      </c>
    </row>
    <row r="6" spans="1:6" ht="15.75" customHeight="1" x14ac:dyDescent="0.2">
      <c r="A6">
        <v>5</v>
      </c>
      <c r="B6" s="4">
        <v>46320</v>
      </c>
      <c r="C6" t="s">
        <v>42</v>
      </c>
      <c r="D6" t="s">
        <v>44</v>
      </c>
      <c r="E6">
        <v>67</v>
      </c>
      <c r="F6">
        <v>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Giocatori</vt:lpstr>
      <vt:lpstr>Squadra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vezzoli</dc:creator>
  <dc:description/>
  <cp:lastModifiedBy>matteo vezzoli</cp:lastModifiedBy>
  <cp:revision>0</cp:revision>
  <dcterms:created xsi:type="dcterms:W3CDTF">2026-09-23T08:57:02Z</dcterms:created>
  <dcterms:modified xsi:type="dcterms:W3CDTF">2026-10-25T23:34:00Z</dcterms:modified>
  <dc:language>it-IT</dc:language>
</cp:coreProperties>
</file>