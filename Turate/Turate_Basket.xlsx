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tteovezzoli/Desktop/Turate/"/>
    </mc:Choice>
  </mc:AlternateContent>
  <xr:revisionPtr revIDLastSave="0" documentId="13_ncr:1_{F644F5BE-1631-E148-81AD-224566F89D6C}" xr6:coauthVersionLast="47" xr6:coauthVersionMax="47" xr10:uidLastSave="{00000000-0000-0000-0000-000000000000}"/>
  <bookViews>
    <workbookView xWindow="0" yWindow="680" windowWidth="34200" windowHeight="19820" xr2:uid="{77520E61-4CBE-564E-BF0B-ECF911E0A7F5}"/>
  </bookViews>
  <sheets>
    <sheet name="Giocatori" sheetId="1" r:id="rId1"/>
    <sheet name="Squadr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0" i="1" l="1"/>
  <c r="I40" i="1"/>
  <c r="F39" i="1"/>
  <c r="F40" i="1"/>
  <c r="D40" i="1"/>
  <c r="E40" i="1"/>
  <c r="G40" i="1"/>
  <c r="H40" i="1"/>
  <c r="J40" i="1"/>
  <c r="K40" i="1"/>
  <c r="M40" i="1"/>
  <c r="N40" i="1"/>
  <c r="C40" i="1"/>
  <c r="N29" i="1"/>
  <c r="N30" i="1"/>
  <c r="N31" i="1"/>
  <c r="N32" i="1"/>
  <c r="N33" i="1"/>
  <c r="N34" i="1"/>
  <c r="N35" i="1"/>
  <c r="N36" i="1"/>
  <c r="N37" i="1"/>
  <c r="N38" i="1"/>
  <c r="N39" i="1"/>
  <c r="N28" i="1"/>
  <c r="L28" i="1"/>
  <c r="L29" i="1"/>
  <c r="L30" i="1"/>
  <c r="L31" i="1"/>
  <c r="L32" i="1"/>
  <c r="L33" i="1"/>
  <c r="L34" i="1"/>
  <c r="L35" i="1"/>
  <c r="L36" i="1"/>
  <c r="L37" i="1"/>
  <c r="L38" i="1"/>
  <c r="L39" i="1"/>
  <c r="I28" i="1"/>
  <c r="I29" i="1"/>
  <c r="I30" i="1"/>
  <c r="I31" i="1"/>
  <c r="I32" i="1"/>
  <c r="I33" i="1"/>
  <c r="I34" i="1"/>
  <c r="I35" i="1"/>
  <c r="I36" i="1"/>
  <c r="I37" i="1"/>
  <c r="I38" i="1"/>
  <c r="I39" i="1"/>
  <c r="F38" i="1"/>
  <c r="F28" i="1"/>
  <c r="F29" i="1"/>
  <c r="F30" i="1"/>
  <c r="F31" i="1"/>
  <c r="F32" i="1"/>
  <c r="F33" i="1"/>
  <c r="F34" i="1"/>
  <c r="F35" i="1"/>
  <c r="F36" i="1"/>
  <c r="F37" i="1"/>
  <c r="L25" i="1"/>
  <c r="L26" i="1"/>
  <c r="L27" i="1"/>
  <c r="I27" i="1"/>
  <c r="F27" i="1"/>
  <c r="D27" i="1"/>
  <c r="E27" i="1"/>
  <c r="G27" i="1"/>
  <c r="H27" i="1"/>
  <c r="J27" i="1"/>
  <c r="K27" i="1"/>
  <c r="M27" i="1"/>
  <c r="N27" i="1"/>
  <c r="C27" i="1"/>
  <c r="N26" i="1"/>
  <c r="N16" i="1"/>
  <c r="N17" i="1"/>
  <c r="N18" i="1"/>
  <c r="N19" i="1"/>
  <c r="N20" i="1"/>
  <c r="N21" i="1"/>
  <c r="N22" i="1"/>
  <c r="N23" i="1"/>
  <c r="N24" i="1"/>
  <c r="N25" i="1"/>
  <c r="N15" i="1"/>
  <c r="N12" i="1"/>
  <c r="L15" i="1"/>
  <c r="L16" i="1"/>
  <c r="L17" i="1"/>
  <c r="L18" i="1"/>
  <c r="L19" i="1"/>
  <c r="L20" i="1"/>
  <c r="L21" i="1"/>
  <c r="L22" i="1"/>
  <c r="L23" i="1"/>
  <c r="L24" i="1"/>
  <c r="I15" i="1"/>
  <c r="I16" i="1"/>
  <c r="I17" i="1"/>
  <c r="I18" i="1"/>
  <c r="I19" i="1"/>
  <c r="I20" i="1"/>
  <c r="I21" i="1"/>
  <c r="I22" i="1"/>
  <c r="I23" i="1"/>
  <c r="I24" i="1"/>
  <c r="I25" i="1"/>
  <c r="I26" i="1"/>
  <c r="F16" i="1"/>
  <c r="F17" i="1"/>
  <c r="F18" i="1"/>
  <c r="F19" i="1"/>
  <c r="F20" i="1"/>
  <c r="F21" i="1"/>
  <c r="F22" i="1"/>
  <c r="F23" i="1"/>
  <c r="F24" i="1"/>
  <c r="F25" i="1"/>
  <c r="F26" i="1"/>
  <c r="F15" i="1"/>
  <c r="D14" i="1"/>
  <c r="E14" i="1"/>
  <c r="G14" i="1"/>
  <c r="H14" i="1"/>
  <c r="J14" i="1"/>
  <c r="L14" i="1" s="1"/>
  <c r="K14" i="1"/>
  <c r="M14" i="1"/>
  <c r="N14" i="1"/>
  <c r="N13" i="1"/>
  <c r="L12" i="1"/>
  <c r="L13" i="1"/>
  <c r="I12" i="1"/>
  <c r="I13" i="1"/>
  <c r="F11" i="1"/>
  <c r="F12" i="1"/>
  <c r="F13" i="1"/>
  <c r="F8" i="1"/>
  <c r="C14" i="1"/>
  <c r="N3" i="1"/>
  <c r="N4" i="1"/>
  <c r="N5" i="1"/>
  <c r="N6" i="1"/>
  <c r="N7" i="1"/>
  <c r="N8" i="1"/>
  <c r="N9" i="1"/>
  <c r="N10" i="1"/>
  <c r="N11" i="1"/>
  <c r="N2" i="1"/>
  <c r="F3" i="1"/>
  <c r="F4" i="1"/>
  <c r="F5" i="1"/>
  <c r="F6" i="1"/>
  <c r="F7" i="1"/>
  <c r="F9" i="1"/>
  <c r="F10" i="1"/>
  <c r="L3" i="1"/>
  <c r="L4" i="1"/>
  <c r="L5" i="1"/>
  <c r="L6" i="1"/>
  <c r="L7" i="1"/>
  <c r="L8" i="1"/>
  <c r="L9" i="1"/>
  <c r="L10" i="1"/>
  <c r="L11" i="1"/>
  <c r="L2" i="1"/>
  <c r="I2" i="1"/>
  <c r="I3" i="1"/>
  <c r="I4" i="1"/>
  <c r="I5" i="1"/>
  <c r="I6" i="1"/>
  <c r="I7" i="1"/>
  <c r="I8" i="1"/>
  <c r="I9" i="1"/>
  <c r="I10" i="1"/>
  <c r="I11" i="1"/>
  <c r="F2" i="1"/>
  <c r="I14" i="1" l="1"/>
  <c r="F14" i="1"/>
</calcChain>
</file>

<file path=xl/sharedStrings.xml><?xml version="1.0" encoding="utf-8"?>
<sst xmlns="http://schemas.openxmlformats.org/spreadsheetml/2006/main" count="65" uniqueCount="37">
  <si>
    <t>Giocatori</t>
  </si>
  <si>
    <t>Titolare</t>
  </si>
  <si>
    <t>Jack</t>
  </si>
  <si>
    <t>Ubo</t>
  </si>
  <si>
    <t>Karim</t>
  </si>
  <si>
    <t xml:space="preserve">Gio </t>
  </si>
  <si>
    <t>Marco</t>
  </si>
  <si>
    <t xml:space="preserve">Teo </t>
  </si>
  <si>
    <t>Dani</t>
  </si>
  <si>
    <t xml:space="preserve">Ricky </t>
  </si>
  <si>
    <t xml:space="preserve">Rupi </t>
  </si>
  <si>
    <t>Edo</t>
  </si>
  <si>
    <t>Data</t>
  </si>
  <si>
    <t>Partita</t>
  </si>
  <si>
    <t>Tipo</t>
  </si>
  <si>
    <t>Amichevole</t>
  </si>
  <si>
    <t>Uboldo</t>
  </si>
  <si>
    <t>Punti fatti</t>
  </si>
  <si>
    <t>Punti subiti</t>
  </si>
  <si>
    <t>2P segnati</t>
  </si>
  <si>
    <t>2P tentati</t>
  </si>
  <si>
    <t>3P segnati</t>
  </si>
  <si>
    <t>3P tentati</t>
  </si>
  <si>
    <t>TL segnati</t>
  </si>
  <si>
    <t>TL tentati</t>
  </si>
  <si>
    <t>Palle perse</t>
  </si>
  <si>
    <t>Numero partita</t>
  </si>
  <si>
    <t>Avversario</t>
  </si>
  <si>
    <t>2P %</t>
  </si>
  <si>
    <t>3P %</t>
  </si>
  <si>
    <t>TL %</t>
  </si>
  <si>
    <t>TOTALE</t>
  </si>
  <si>
    <t xml:space="preserve">Punti segnati </t>
  </si>
  <si>
    <t>Vala</t>
  </si>
  <si>
    <t>Nic</t>
  </si>
  <si>
    <t>Albese</t>
  </si>
  <si>
    <t>BlackMamba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</si>
</sst>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6" fontId="0" fillId="0" borderId="0" xfId="0" applyNumberFormat="1"/>
    <xf numFmtId="0" fontId="2" fillId="0" borderId="0" xfId="0" applyFont="1"/>
    <xf numFmtId="9" fontId="2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195EE-B1BE-684C-B5EE-A346702C9F57}">
  <dimension ref="A1:N40"/>
  <sheetViews>
    <sheetView tabSelected="1" workbookViewId="0">
      <selection activeCell="N32" sqref="N32"/>
    </sheetView>
  </sheetViews>
  <sheetFormatPr baseColWidth="10" defaultRowHeight="16" x14ac:dyDescent="0.2"/>
  <sheetData>
    <row r="1" spans="1:14" x14ac:dyDescent="0.2">
      <c r="A1" t="s">
        <v>13</v>
      </c>
      <c r="B1" t="s">
        <v>0</v>
      </c>
      <c r="C1" t="s">
        <v>1</v>
      </c>
      <c r="D1" s="2" t="s">
        <v>19</v>
      </c>
      <c r="E1" s="2" t="s">
        <v>20</v>
      </c>
      <c r="F1" t="s">
        <v>28</v>
      </c>
      <c r="G1" s="2" t="s">
        <v>21</v>
      </c>
      <c r="H1" s="2" t="s">
        <v>22</v>
      </c>
      <c r="I1" t="s">
        <v>29</v>
      </c>
      <c r="J1" s="2" t="s">
        <v>23</v>
      </c>
      <c r="K1" s="2" t="s">
        <v>24</v>
      </c>
      <c r="L1" t="s">
        <v>30</v>
      </c>
      <c r="M1" s="2" t="s">
        <v>25</v>
      </c>
      <c r="N1" s="2" t="s">
        <v>32</v>
      </c>
    </row>
    <row r="2" spans="1:14" x14ac:dyDescent="0.2">
      <c r="A2">
        <v>1</v>
      </c>
      <c r="B2" t="s">
        <v>2</v>
      </c>
      <c r="C2">
        <v>1</v>
      </c>
      <c r="D2" s="2">
        <v>5</v>
      </c>
      <c r="E2" s="2">
        <v>8</v>
      </c>
      <c r="F2" s="3">
        <f>IF(D2=0,0,D2/E2)</f>
        <v>0.625</v>
      </c>
      <c r="G2" s="2">
        <v>0</v>
      </c>
      <c r="H2" s="2">
        <v>1</v>
      </c>
      <c r="I2" s="3">
        <f>IF(G2=0,0,G2/H2)</f>
        <v>0</v>
      </c>
      <c r="J2" s="2">
        <v>4</v>
      </c>
      <c r="K2" s="2">
        <v>8</v>
      </c>
      <c r="L2" s="3">
        <f>IF(J2=0,0,J2/K2)</f>
        <v>0.5</v>
      </c>
      <c r="M2" s="2">
        <v>2</v>
      </c>
      <c r="N2">
        <f>D2*2+G2*3+J2</f>
        <v>14</v>
      </c>
    </row>
    <row r="3" spans="1:14" x14ac:dyDescent="0.2">
      <c r="A3">
        <v>1</v>
      </c>
      <c r="B3" t="s">
        <v>3</v>
      </c>
      <c r="C3">
        <v>1</v>
      </c>
      <c r="D3" s="2">
        <v>1</v>
      </c>
      <c r="E3" s="2">
        <v>2</v>
      </c>
      <c r="F3" s="3">
        <f t="shared" ref="F3:F40" si="0">IF(D3=0,0,D3/E3)</f>
        <v>0.5</v>
      </c>
      <c r="G3" s="2">
        <v>2</v>
      </c>
      <c r="H3" s="2">
        <v>5</v>
      </c>
      <c r="I3" s="3">
        <f t="shared" ref="I3:I13" si="1">IF(G3=0,0,G3/H3)</f>
        <v>0.4</v>
      </c>
      <c r="J3" s="2">
        <v>0</v>
      </c>
      <c r="K3" s="2">
        <v>0</v>
      </c>
      <c r="L3" s="3">
        <f t="shared" ref="L3:L13" si="2">IF(J3=0,0,J3/K3)</f>
        <v>0</v>
      </c>
      <c r="M3" s="2">
        <v>0</v>
      </c>
      <c r="N3">
        <f t="shared" ref="N3:N13" si="3">D3*2+G3*3+J3</f>
        <v>8</v>
      </c>
    </row>
    <row r="4" spans="1:14" x14ac:dyDescent="0.2">
      <c r="A4">
        <v>1</v>
      </c>
      <c r="B4" t="s">
        <v>4</v>
      </c>
      <c r="C4">
        <v>1</v>
      </c>
      <c r="D4" s="2">
        <v>1</v>
      </c>
      <c r="E4" s="2">
        <v>2</v>
      </c>
      <c r="F4" s="3">
        <f t="shared" si="0"/>
        <v>0.5</v>
      </c>
      <c r="G4" s="2">
        <v>2</v>
      </c>
      <c r="H4" s="2">
        <v>6</v>
      </c>
      <c r="I4" s="3">
        <f t="shared" si="1"/>
        <v>0.33333333333333331</v>
      </c>
      <c r="J4" s="2">
        <v>0</v>
      </c>
      <c r="K4" s="2">
        <v>0</v>
      </c>
      <c r="L4" s="3">
        <f t="shared" si="2"/>
        <v>0</v>
      </c>
      <c r="M4" s="2">
        <v>2</v>
      </c>
      <c r="N4">
        <f t="shared" si="3"/>
        <v>8</v>
      </c>
    </row>
    <row r="5" spans="1:14" x14ac:dyDescent="0.2">
      <c r="A5">
        <v>1</v>
      </c>
      <c r="B5" t="s">
        <v>5</v>
      </c>
      <c r="C5">
        <v>1</v>
      </c>
      <c r="D5" s="2">
        <v>6</v>
      </c>
      <c r="E5" s="2">
        <v>9</v>
      </c>
      <c r="F5" s="3">
        <f t="shared" si="0"/>
        <v>0.66666666666666663</v>
      </c>
      <c r="G5" s="2">
        <v>1</v>
      </c>
      <c r="H5" s="2">
        <v>8</v>
      </c>
      <c r="I5" s="3">
        <f t="shared" si="1"/>
        <v>0.125</v>
      </c>
      <c r="J5" s="2">
        <v>0</v>
      </c>
      <c r="K5" s="2">
        <v>0</v>
      </c>
      <c r="L5" s="3">
        <f t="shared" si="2"/>
        <v>0</v>
      </c>
      <c r="M5" s="2">
        <v>4</v>
      </c>
      <c r="N5">
        <f t="shared" si="3"/>
        <v>15</v>
      </c>
    </row>
    <row r="6" spans="1:14" x14ac:dyDescent="0.2">
      <c r="A6">
        <v>1</v>
      </c>
      <c r="B6" t="s">
        <v>6</v>
      </c>
      <c r="C6">
        <v>1</v>
      </c>
      <c r="D6" s="2">
        <v>3</v>
      </c>
      <c r="E6" s="2">
        <v>8</v>
      </c>
      <c r="F6" s="3">
        <f t="shared" si="0"/>
        <v>0.375</v>
      </c>
      <c r="G6" s="2">
        <v>1</v>
      </c>
      <c r="H6" s="2">
        <v>3</v>
      </c>
      <c r="I6" s="3">
        <f t="shared" si="1"/>
        <v>0.33333333333333331</v>
      </c>
      <c r="J6" s="2">
        <v>6</v>
      </c>
      <c r="K6" s="2">
        <v>10</v>
      </c>
      <c r="L6" s="3">
        <f t="shared" si="2"/>
        <v>0.6</v>
      </c>
      <c r="M6" s="2">
        <v>1</v>
      </c>
      <c r="N6">
        <f t="shared" si="3"/>
        <v>15</v>
      </c>
    </row>
    <row r="7" spans="1:14" x14ac:dyDescent="0.2">
      <c r="A7">
        <v>1</v>
      </c>
      <c r="B7" t="s">
        <v>7</v>
      </c>
      <c r="C7">
        <v>0</v>
      </c>
      <c r="D7" s="2">
        <v>1</v>
      </c>
      <c r="E7" s="2">
        <v>6</v>
      </c>
      <c r="F7" s="3">
        <f t="shared" si="0"/>
        <v>0.16666666666666666</v>
      </c>
      <c r="G7" s="2">
        <v>0</v>
      </c>
      <c r="H7" s="2">
        <v>1</v>
      </c>
      <c r="I7" s="3">
        <f t="shared" si="1"/>
        <v>0</v>
      </c>
      <c r="J7" s="2">
        <v>2</v>
      </c>
      <c r="K7" s="2">
        <v>4</v>
      </c>
      <c r="L7" s="3">
        <f t="shared" si="2"/>
        <v>0.5</v>
      </c>
      <c r="M7" s="2">
        <v>3</v>
      </c>
      <c r="N7">
        <f t="shared" si="3"/>
        <v>4</v>
      </c>
    </row>
    <row r="8" spans="1:14" x14ac:dyDescent="0.2">
      <c r="A8">
        <v>1</v>
      </c>
      <c r="B8" t="s">
        <v>8</v>
      </c>
      <c r="C8">
        <v>0</v>
      </c>
      <c r="D8" s="2">
        <v>1</v>
      </c>
      <c r="E8" s="2">
        <v>2</v>
      </c>
      <c r="F8" s="3">
        <f>IF(D8=0,0,D8/E8)</f>
        <v>0.5</v>
      </c>
      <c r="G8" s="2">
        <v>3</v>
      </c>
      <c r="H8" s="2">
        <v>7</v>
      </c>
      <c r="I8" s="3">
        <f t="shared" si="1"/>
        <v>0.42857142857142855</v>
      </c>
      <c r="J8" s="2">
        <v>0</v>
      </c>
      <c r="K8" s="2">
        <v>0</v>
      </c>
      <c r="L8" s="3">
        <f t="shared" si="2"/>
        <v>0</v>
      </c>
      <c r="M8" s="2">
        <v>2</v>
      </c>
      <c r="N8">
        <f t="shared" si="3"/>
        <v>11</v>
      </c>
    </row>
    <row r="9" spans="1:14" x14ac:dyDescent="0.2">
      <c r="A9">
        <v>1</v>
      </c>
      <c r="B9" t="s">
        <v>9</v>
      </c>
      <c r="C9">
        <v>0</v>
      </c>
      <c r="D9" s="2">
        <v>0</v>
      </c>
      <c r="E9" s="2">
        <v>2</v>
      </c>
      <c r="F9" s="3">
        <f t="shared" si="0"/>
        <v>0</v>
      </c>
      <c r="G9" s="2">
        <v>0</v>
      </c>
      <c r="H9" s="2">
        <v>0</v>
      </c>
      <c r="I9" s="3">
        <f t="shared" si="1"/>
        <v>0</v>
      </c>
      <c r="J9" s="2">
        <v>0</v>
      </c>
      <c r="K9" s="2">
        <v>0</v>
      </c>
      <c r="L9" s="3">
        <f t="shared" si="2"/>
        <v>0</v>
      </c>
      <c r="M9" s="2">
        <v>1</v>
      </c>
      <c r="N9">
        <f t="shared" si="3"/>
        <v>0</v>
      </c>
    </row>
    <row r="10" spans="1:14" x14ac:dyDescent="0.2">
      <c r="A10">
        <v>1</v>
      </c>
      <c r="B10" t="s">
        <v>10</v>
      </c>
      <c r="C10">
        <v>0</v>
      </c>
      <c r="D10" s="2">
        <v>2</v>
      </c>
      <c r="E10" s="2">
        <v>2</v>
      </c>
      <c r="F10" s="3">
        <f t="shared" si="0"/>
        <v>1</v>
      </c>
      <c r="G10" s="2">
        <v>0</v>
      </c>
      <c r="H10" s="2">
        <v>0</v>
      </c>
      <c r="I10" s="3">
        <f t="shared" si="1"/>
        <v>0</v>
      </c>
      <c r="J10" s="2">
        <v>0</v>
      </c>
      <c r="K10" s="2">
        <v>1</v>
      </c>
      <c r="L10" s="3">
        <f t="shared" si="2"/>
        <v>0</v>
      </c>
      <c r="M10" s="2">
        <v>2</v>
      </c>
      <c r="N10">
        <f t="shared" si="3"/>
        <v>4</v>
      </c>
    </row>
    <row r="11" spans="1:14" x14ac:dyDescent="0.2">
      <c r="A11">
        <v>1</v>
      </c>
      <c r="B11" t="s">
        <v>11</v>
      </c>
      <c r="C11">
        <v>0</v>
      </c>
      <c r="D11" s="2">
        <v>1</v>
      </c>
      <c r="E11" s="2">
        <v>1</v>
      </c>
      <c r="F11" s="3">
        <f t="shared" si="0"/>
        <v>1</v>
      </c>
      <c r="G11" s="2">
        <v>0</v>
      </c>
      <c r="H11" s="2">
        <v>1</v>
      </c>
      <c r="I11" s="3">
        <f t="shared" si="1"/>
        <v>0</v>
      </c>
      <c r="J11" s="2">
        <v>0</v>
      </c>
      <c r="K11" s="2">
        <v>0</v>
      </c>
      <c r="L11" s="3">
        <f t="shared" si="2"/>
        <v>0</v>
      </c>
      <c r="M11" s="2">
        <v>1</v>
      </c>
      <c r="N11">
        <f t="shared" si="3"/>
        <v>2</v>
      </c>
    </row>
    <row r="12" spans="1:14" x14ac:dyDescent="0.2">
      <c r="A12">
        <v>1</v>
      </c>
      <c r="B12" t="s">
        <v>33</v>
      </c>
      <c r="C12">
        <v>0</v>
      </c>
      <c r="D12">
        <v>0</v>
      </c>
      <c r="E12">
        <v>0</v>
      </c>
      <c r="F12" s="3">
        <f>IF(D12=0,0,D12/E12)</f>
        <v>0</v>
      </c>
      <c r="G12">
        <v>0</v>
      </c>
      <c r="H12">
        <v>0</v>
      </c>
      <c r="I12" s="3">
        <f t="shared" si="1"/>
        <v>0</v>
      </c>
      <c r="J12">
        <v>0</v>
      </c>
      <c r="K12">
        <v>0</v>
      </c>
      <c r="L12" s="3">
        <f t="shared" si="2"/>
        <v>0</v>
      </c>
      <c r="M12">
        <v>0</v>
      </c>
      <c r="N12">
        <f>D12*2+G12*3+J12</f>
        <v>0</v>
      </c>
    </row>
    <row r="13" spans="1:14" x14ac:dyDescent="0.2">
      <c r="A13">
        <v>1</v>
      </c>
      <c r="B13" t="s">
        <v>34</v>
      </c>
      <c r="C13">
        <v>0</v>
      </c>
      <c r="D13">
        <v>0</v>
      </c>
      <c r="E13">
        <v>0</v>
      </c>
      <c r="F13" s="3">
        <f t="shared" si="0"/>
        <v>0</v>
      </c>
      <c r="G13">
        <v>0</v>
      </c>
      <c r="H13">
        <v>0</v>
      </c>
      <c r="I13" s="3">
        <f t="shared" si="1"/>
        <v>0</v>
      </c>
      <c r="J13">
        <v>0</v>
      </c>
      <c r="K13">
        <v>0</v>
      </c>
      <c r="L13" s="3">
        <f t="shared" si="2"/>
        <v>0</v>
      </c>
      <c r="M13">
        <v>0</v>
      </c>
      <c r="N13">
        <f t="shared" si="3"/>
        <v>0</v>
      </c>
    </row>
    <row r="14" spans="1:14" x14ac:dyDescent="0.2">
      <c r="A14">
        <v>1</v>
      </c>
      <c r="B14" t="s">
        <v>31</v>
      </c>
      <c r="C14">
        <f>SUM(C2:C13)</f>
        <v>5</v>
      </c>
      <c r="D14">
        <f>SUM(D2:D13)</f>
        <v>21</v>
      </c>
      <c r="E14">
        <f>SUM(E2:E13)</f>
        <v>42</v>
      </c>
      <c r="F14" s="3">
        <f t="shared" si="0"/>
        <v>0.5</v>
      </c>
      <c r="G14">
        <f>SUM(G2:G13)</f>
        <v>9</v>
      </c>
      <c r="H14">
        <f>SUM(H2:H13)</f>
        <v>32</v>
      </c>
      <c r="I14" s="3">
        <f>IF(G14=0,0,G14/H14)</f>
        <v>0.28125</v>
      </c>
      <c r="J14">
        <f>SUM(J2:J13)</f>
        <v>12</v>
      </c>
      <c r="K14">
        <f>SUM(K2:K13)</f>
        <v>23</v>
      </c>
      <c r="L14" s="3">
        <f>IF(J14=0,0,J14/K14)</f>
        <v>0.52173913043478259</v>
      </c>
      <c r="M14">
        <f>SUM(M2:M13)</f>
        <v>18</v>
      </c>
      <c r="N14">
        <f>SUM(N2:N13)</f>
        <v>81</v>
      </c>
    </row>
    <row r="15" spans="1:14" x14ac:dyDescent="0.2">
      <c r="A15">
        <v>2</v>
      </c>
      <c r="B15" t="s">
        <v>2</v>
      </c>
      <c r="C15">
        <v>1</v>
      </c>
      <c r="D15">
        <v>9</v>
      </c>
      <c r="E15">
        <v>12</v>
      </c>
      <c r="F15" s="3">
        <f t="shared" si="0"/>
        <v>0.75</v>
      </c>
      <c r="G15">
        <v>0</v>
      </c>
      <c r="H15">
        <v>2</v>
      </c>
      <c r="I15" s="3">
        <f t="shared" ref="I15:I40" si="4">IF(G15=0,0,G15/H15)</f>
        <v>0</v>
      </c>
      <c r="J15">
        <v>8</v>
      </c>
      <c r="K15">
        <v>12</v>
      </c>
      <c r="L15" s="3">
        <f t="shared" ref="L15:L40" si="5">IF(J15=0,0,J15/K15)</f>
        <v>0.66666666666666663</v>
      </c>
      <c r="M15">
        <v>1</v>
      </c>
      <c r="N15">
        <f>D15*2+G15*3+J15</f>
        <v>26</v>
      </c>
    </row>
    <row r="16" spans="1:14" x14ac:dyDescent="0.2">
      <c r="A16">
        <v>2</v>
      </c>
      <c r="B16" t="s">
        <v>3</v>
      </c>
      <c r="C16">
        <v>1</v>
      </c>
      <c r="D16">
        <v>2</v>
      </c>
      <c r="E16">
        <v>4</v>
      </c>
      <c r="F16" s="3">
        <f t="shared" si="0"/>
        <v>0.5</v>
      </c>
      <c r="G16">
        <v>1</v>
      </c>
      <c r="H16">
        <v>4</v>
      </c>
      <c r="I16" s="3">
        <f t="shared" si="4"/>
        <v>0.25</v>
      </c>
      <c r="J16">
        <v>0</v>
      </c>
      <c r="K16">
        <v>2</v>
      </c>
      <c r="L16" s="3">
        <f t="shared" si="5"/>
        <v>0</v>
      </c>
      <c r="M16">
        <v>1</v>
      </c>
      <c r="N16">
        <f t="shared" ref="N16:N25" si="6">D16*2+G16*3+J16</f>
        <v>7</v>
      </c>
    </row>
    <row r="17" spans="1:14" x14ac:dyDescent="0.2">
      <c r="A17">
        <v>2</v>
      </c>
      <c r="B17" t="s">
        <v>4</v>
      </c>
      <c r="C17">
        <v>1</v>
      </c>
      <c r="D17">
        <v>2</v>
      </c>
      <c r="E17">
        <v>2</v>
      </c>
      <c r="F17" s="3">
        <f t="shared" si="0"/>
        <v>1</v>
      </c>
      <c r="G17">
        <v>2</v>
      </c>
      <c r="H17">
        <v>7</v>
      </c>
      <c r="I17" s="3">
        <f t="shared" si="4"/>
        <v>0.2857142857142857</v>
      </c>
      <c r="J17">
        <v>2</v>
      </c>
      <c r="K17">
        <v>2</v>
      </c>
      <c r="L17" s="3">
        <f t="shared" si="5"/>
        <v>1</v>
      </c>
      <c r="M17">
        <v>1</v>
      </c>
      <c r="N17">
        <f t="shared" si="6"/>
        <v>12</v>
      </c>
    </row>
    <row r="18" spans="1:14" x14ac:dyDescent="0.2">
      <c r="A18">
        <v>2</v>
      </c>
      <c r="B18" t="s">
        <v>5</v>
      </c>
      <c r="C18">
        <v>1</v>
      </c>
      <c r="D18">
        <v>2</v>
      </c>
      <c r="E18">
        <v>5</v>
      </c>
      <c r="F18" s="3">
        <f t="shared" si="0"/>
        <v>0.4</v>
      </c>
      <c r="G18">
        <v>0</v>
      </c>
      <c r="H18">
        <v>6</v>
      </c>
      <c r="I18" s="3">
        <f t="shared" si="4"/>
        <v>0</v>
      </c>
      <c r="J18">
        <v>0</v>
      </c>
      <c r="K18">
        <v>1</v>
      </c>
      <c r="L18" s="3">
        <f t="shared" si="5"/>
        <v>0</v>
      </c>
      <c r="M18">
        <v>0</v>
      </c>
      <c r="N18">
        <f t="shared" si="6"/>
        <v>4</v>
      </c>
    </row>
    <row r="19" spans="1:14" x14ac:dyDescent="0.2">
      <c r="A19">
        <v>2</v>
      </c>
      <c r="B19" t="s">
        <v>6</v>
      </c>
      <c r="C19">
        <v>1</v>
      </c>
      <c r="D19">
        <v>0</v>
      </c>
      <c r="E19">
        <v>2</v>
      </c>
      <c r="F19" s="3">
        <f t="shared" si="0"/>
        <v>0</v>
      </c>
      <c r="G19">
        <v>0</v>
      </c>
      <c r="H19">
        <v>0</v>
      </c>
      <c r="I19" s="3">
        <f t="shared" si="4"/>
        <v>0</v>
      </c>
      <c r="J19">
        <v>2</v>
      </c>
      <c r="K19">
        <v>2</v>
      </c>
      <c r="L19" s="3">
        <f t="shared" si="5"/>
        <v>1</v>
      </c>
      <c r="M19">
        <v>0</v>
      </c>
      <c r="N19">
        <f t="shared" si="6"/>
        <v>2</v>
      </c>
    </row>
    <row r="20" spans="1:14" x14ac:dyDescent="0.2">
      <c r="A20">
        <v>2</v>
      </c>
      <c r="B20" t="s">
        <v>7</v>
      </c>
      <c r="C20">
        <v>0</v>
      </c>
      <c r="D20">
        <v>1</v>
      </c>
      <c r="E20">
        <v>3</v>
      </c>
      <c r="F20" s="3">
        <f t="shared" si="0"/>
        <v>0.33333333333333331</v>
      </c>
      <c r="G20">
        <v>0</v>
      </c>
      <c r="H20">
        <v>0</v>
      </c>
      <c r="I20" s="3">
        <f t="shared" si="4"/>
        <v>0</v>
      </c>
      <c r="J20">
        <v>3</v>
      </c>
      <c r="K20">
        <v>10</v>
      </c>
      <c r="L20" s="3">
        <f t="shared" si="5"/>
        <v>0.3</v>
      </c>
      <c r="M20">
        <v>2</v>
      </c>
      <c r="N20">
        <f t="shared" si="6"/>
        <v>5</v>
      </c>
    </row>
    <row r="21" spans="1:14" x14ac:dyDescent="0.2">
      <c r="A21">
        <v>2</v>
      </c>
      <c r="B21" t="s">
        <v>8</v>
      </c>
      <c r="C21">
        <v>0</v>
      </c>
      <c r="D21">
        <v>1</v>
      </c>
      <c r="E21">
        <v>2</v>
      </c>
      <c r="F21" s="3">
        <f t="shared" si="0"/>
        <v>0.5</v>
      </c>
      <c r="G21">
        <v>1</v>
      </c>
      <c r="H21">
        <v>5</v>
      </c>
      <c r="I21" s="3">
        <f t="shared" si="4"/>
        <v>0.2</v>
      </c>
      <c r="J21">
        <v>0</v>
      </c>
      <c r="K21">
        <v>0</v>
      </c>
      <c r="L21" s="3">
        <f t="shared" si="5"/>
        <v>0</v>
      </c>
      <c r="M21">
        <v>2</v>
      </c>
      <c r="N21">
        <f t="shared" si="6"/>
        <v>5</v>
      </c>
    </row>
    <row r="22" spans="1:14" x14ac:dyDescent="0.2">
      <c r="A22">
        <v>2</v>
      </c>
      <c r="B22" t="s">
        <v>9</v>
      </c>
      <c r="C22">
        <v>0</v>
      </c>
      <c r="D22">
        <v>3</v>
      </c>
      <c r="E22">
        <v>4</v>
      </c>
      <c r="F22" s="3">
        <f t="shared" si="0"/>
        <v>0.75</v>
      </c>
      <c r="G22">
        <v>2</v>
      </c>
      <c r="H22">
        <v>4</v>
      </c>
      <c r="I22" s="3">
        <f t="shared" si="4"/>
        <v>0.5</v>
      </c>
      <c r="J22">
        <v>0</v>
      </c>
      <c r="K22">
        <v>0</v>
      </c>
      <c r="L22" s="3">
        <f t="shared" si="5"/>
        <v>0</v>
      </c>
      <c r="M22">
        <v>0</v>
      </c>
      <c r="N22">
        <f t="shared" si="6"/>
        <v>12</v>
      </c>
    </row>
    <row r="23" spans="1:14" x14ac:dyDescent="0.2">
      <c r="A23">
        <v>2</v>
      </c>
      <c r="B23" t="s">
        <v>10</v>
      </c>
      <c r="C23">
        <v>0</v>
      </c>
      <c r="D23">
        <v>0</v>
      </c>
      <c r="E23">
        <v>1</v>
      </c>
      <c r="F23" s="3">
        <f t="shared" si="0"/>
        <v>0</v>
      </c>
      <c r="G23">
        <v>0</v>
      </c>
      <c r="H23">
        <v>0</v>
      </c>
      <c r="I23" s="3">
        <f t="shared" si="4"/>
        <v>0</v>
      </c>
      <c r="J23">
        <v>0</v>
      </c>
      <c r="K23">
        <v>0</v>
      </c>
      <c r="L23" s="3">
        <f t="shared" si="5"/>
        <v>0</v>
      </c>
      <c r="M23">
        <v>1</v>
      </c>
      <c r="N23">
        <f t="shared" si="6"/>
        <v>0</v>
      </c>
    </row>
    <row r="24" spans="1:14" x14ac:dyDescent="0.2">
      <c r="A24">
        <v>2</v>
      </c>
      <c r="B24" t="s">
        <v>11</v>
      </c>
      <c r="C24">
        <v>0</v>
      </c>
      <c r="D24">
        <v>0</v>
      </c>
      <c r="E24">
        <v>1</v>
      </c>
      <c r="F24" s="3">
        <f t="shared" si="0"/>
        <v>0</v>
      </c>
      <c r="G24">
        <v>0</v>
      </c>
      <c r="H24">
        <v>1</v>
      </c>
      <c r="I24" s="3">
        <f t="shared" si="4"/>
        <v>0</v>
      </c>
      <c r="J24">
        <v>0</v>
      </c>
      <c r="K24">
        <v>0</v>
      </c>
      <c r="L24" s="3">
        <f t="shared" si="5"/>
        <v>0</v>
      </c>
      <c r="M24">
        <v>0</v>
      </c>
      <c r="N24">
        <f t="shared" si="6"/>
        <v>0</v>
      </c>
    </row>
    <row r="25" spans="1:14" x14ac:dyDescent="0.2">
      <c r="A25">
        <v>2</v>
      </c>
      <c r="B25" t="s">
        <v>33</v>
      </c>
      <c r="C25">
        <v>0</v>
      </c>
      <c r="D25">
        <v>0</v>
      </c>
      <c r="E25">
        <v>0</v>
      </c>
      <c r="F25" s="3">
        <f t="shared" si="0"/>
        <v>0</v>
      </c>
      <c r="G25">
        <v>0</v>
      </c>
      <c r="H25">
        <v>0</v>
      </c>
      <c r="I25" s="3">
        <f t="shared" si="4"/>
        <v>0</v>
      </c>
      <c r="J25">
        <v>0</v>
      </c>
      <c r="K25">
        <v>0</v>
      </c>
      <c r="L25" s="3">
        <f t="shared" si="5"/>
        <v>0</v>
      </c>
      <c r="M25">
        <v>0</v>
      </c>
      <c r="N25">
        <f t="shared" si="6"/>
        <v>0</v>
      </c>
    </row>
    <row r="26" spans="1:14" x14ac:dyDescent="0.2">
      <c r="A26">
        <v>2</v>
      </c>
      <c r="B26" t="s">
        <v>34</v>
      </c>
      <c r="C26">
        <v>0</v>
      </c>
      <c r="D26">
        <v>1</v>
      </c>
      <c r="E26">
        <v>1</v>
      </c>
      <c r="F26" s="3">
        <f t="shared" si="0"/>
        <v>1</v>
      </c>
      <c r="G26">
        <v>0</v>
      </c>
      <c r="H26">
        <v>0</v>
      </c>
      <c r="I26" s="3">
        <f t="shared" si="4"/>
        <v>0</v>
      </c>
      <c r="J26">
        <v>0</v>
      </c>
      <c r="K26">
        <v>0</v>
      </c>
      <c r="L26" s="3">
        <f t="shared" si="5"/>
        <v>0</v>
      </c>
      <c r="M26">
        <v>0</v>
      </c>
      <c r="N26">
        <f>D26*2+G26*3+J26</f>
        <v>2</v>
      </c>
    </row>
    <row r="27" spans="1:14" x14ac:dyDescent="0.2">
      <c r="A27">
        <v>2</v>
      </c>
      <c r="B27" t="s">
        <v>31</v>
      </c>
      <c r="C27">
        <f>SUM(C15:C26)</f>
        <v>5</v>
      </c>
      <c r="D27">
        <f t="shared" ref="D27:N27" si="7">SUM(D15:D26)</f>
        <v>21</v>
      </c>
      <c r="E27">
        <f t="shared" si="7"/>
        <v>37</v>
      </c>
      <c r="F27" s="3">
        <f t="shared" si="0"/>
        <v>0.56756756756756754</v>
      </c>
      <c r="G27">
        <f t="shared" si="7"/>
        <v>6</v>
      </c>
      <c r="H27">
        <f t="shared" si="7"/>
        <v>29</v>
      </c>
      <c r="I27" s="3">
        <f t="shared" si="4"/>
        <v>0.20689655172413793</v>
      </c>
      <c r="J27">
        <f t="shared" si="7"/>
        <v>15</v>
      </c>
      <c r="K27">
        <f t="shared" si="7"/>
        <v>29</v>
      </c>
      <c r="L27" s="3">
        <f t="shared" si="5"/>
        <v>0.51724137931034486</v>
      </c>
      <c r="M27">
        <f t="shared" si="7"/>
        <v>8</v>
      </c>
      <c r="N27">
        <f t="shared" si="7"/>
        <v>75</v>
      </c>
    </row>
    <row r="28" spans="1:14" x14ac:dyDescent="0.2">
      <c r="A28">
        <v>3</v>
      </c>
      <c r="B28" t="s">
        <v>2</v>
      </c>
      <c r="C28">
        <v>1</v>
      </c>
      <c r="D28">
        <v>4</v>
      </c>
      <c r="E28">
        <v>12</v>
      </c>
      <c r="F28" s="3">
        <f t="shared" si="0"/>
        <v>0.33333333333333331</v>
      </c>
      <c r="G28">
        <v>0</v>
      </c>
      <c r="H28">
        <v>1</v>
      </c>
      <c r="I28" s="3">
        <f t="shared" si="4"/>
        <v>0</v>
      </c>
      <c r="J28">
        <v>4</v>
      </c>
      <c r="K28">
        <v>4</v>
      </c>
      <c r="L28" s="3">
        <f t="shared" si="5"/>
        <v>1</v>
      </c>
      <c r="M28">
        <v>1</v>
      </c>
      <c r="N28">
        <f>D28*2+G28*3+J28</f>
        <v>12</v>
      </c>
    </row>
    <row r="29" spans="1:14" x14ac:dyDescent="0.2">
      <c r="A29">
        <v>3</v>
      </c>
      <c r="B29" t="s">
        <v>3</v>
      </c>
      <c r="C29">
        <v>1</v>
      </c>
      <c r="D29">
        <v>1</v>
      </c>
      <c r="E29">
        <v>2</v>
      </c>
      <c r="F29" s="3">
        <f t="shared" si="0"/>
        <v>0.5</v>
      </c>
      <c r="G29">
        <v>1</v>
      </c>
      <c r="H29">
        <v>7</v>
      </c>
      <c r="I29" s="3">
        <f t="shared" si="4"/>
        <v>0.14285714285714285</v>
      </c>
      <c r="J29">
        <v>3</v>
      </c>
      <c r="K29">
        <v>4</v>
      </c>
      <c r="L29" s="3">
        <f t="shared" si="5"/>
        <v>0.75</v>
      </c>
      <c r="M29">
        <v>3</v>
      </c>
      <c r="N29">
        <f t="shared" ref="N29:N39" si="8">D29*2+G29*3+J29</f>
        <v>8</v>
      </c>
    </row>
    <row r="30" spans="1:14" x14ac:dyDescent="0.2">
      <c r="A30">
        <v>3</v>
      </c>
      <c r="B30" t="s">
        <v>4</v>
      </c>
      <c r="C30">
        <v>1</v>
      </c>
      <c r="D30">
        <v>1</v>
      </c>
      <c r="E30">
        <v>3</v>
      </c>
      <c r="F30" s="3">
        <f t="shared" si="0"/>
        <v>0.33333333333333331</v>
      </c>
      <c r="G30">
        <v>2</v>
      </c>
      <c r="H30">
        <v>5</v>
      </c>
      <c r="I30" s="3">
        <f t="shared" si="4"/>
        <v>0.4</v>
      </c>
      <c r="J30">
        <v>0</v>
      </c>
      <c r="K30">
        <v>0</v>
      </c>
      <c r="L30" s="3">
        <f t="shared" si="5"/>
        <v>0</v>
      </c>
      <c r="M30">
        <v>3</v>
      </c>
      <c r="N30">
        <f t="shared" si="8"/>
        <v>8</v>
      </c>
    </row>
    <row r="31" spans="1:14" x14ac:dyDescent="0.2">
      <c r="A31">
        <v>3</v>
      </c>
      <c r="B31" t="s">
        <v>5</v>
      </c>
      <c r="C31">
        <v>1</v>
      </c>
      <c r="D31">
        <v>2</v>
      </c>
      <c r="E31">
        <v>8</v>
      </c>
      <c r="F31" s="3">
        <f t="shared" si="0"/>
        <v>0.25</v>
      </c>
      <c r="G31">
        <v>0</v>
      </c>
      <c r="H31">
        <v>5</v>
      </c>
      <c r="I31" s="3">
        <f t="shared" si="4"/>
        <v>0</v>
      </c>
      <c r="J31">
        <v>1</v>
      </c>
      <c r="K31">
        <v>4</v>
      </c>
      <c r="L31" s="3">
        <f t="shared" si="5"/>
        <v>0.25</v>
      </c>
      <c r="M31">
        <v>2</v>
      </c>
      <c r="N31">
        <f t="shared" si="8"/>
        <v>5</v>
      </c>
    </row>
    <row r="32" spans="1:14" x14ac:dyDescent="0.2">
      <c r="A32">
        <v>3</v>
      </c>
      <c r="B32" t="s">
        <v>6</v>
      </c>
      <c r="C32">
        <v>1</v>
      </c>
      <c r="D32">
        <v>4</v>
      </c>
      <c r="E32">
        <v>8</v>
      </c>
      <c r="F32" s="3">
        <f t="shared" si="0"/>
        <v>0.5</v>
      </c>
      <c r="G32">
        <v>0</v>
      </c>
      <c r="H32">
        <v>0</v>
      </c>
      <c r="I32" s="3">
        <f t="shared" si="4"/>
        <v>0</v>
      </c>
      <c r="J32">
        <v>1</v>
      </c>
      <c r="K32">
        <v>4</v>
      </c>
      <c r="L32" s="3">
        <f t="shared" si="5"/>
        <v>0.25</v>
      </c>
      <c r="M32">
        <v>5</v>
      </c>
      <c r="N32">
        <f t="shared" si="8"/>
        <v>9</v>
      </c>
    </row>
    <row r="33" spans="1:14" x14ac:dyDescent="0.2">
      <c r="A33">
        <v>3</v>
      </c>
      <c r="B33" t="s">
        <v>7</v>
      </c>
      <c r="C33">
        <v>0</v>
      </c>
      <c r="D33">
        <v>0</v>
      </c>
      <c r="E33">
        <v>3</v>
      </c>
      <c r="F33" s="3">
        <f t="shared" si="0"/>
        <v>0</v>
      </c>
      <c r="G33">
        <v>0</v>
      </c>
      <c r="H33">
        <v>1</v>
      </c>
      <c r="I33" s="3">
        <f t="shared" si="4"/>
        <v>0</v>
      </c>
      <c r="J33">
        <v>0</v>
      </c>
      <c r="K33">
        <v>0</v>
      </c>
      <c r="L33" s="3">
        <f t="shared" si="5"/>
        <v>0</v>
      </c>
      <c r="M33">
        <v>2</v>
      </c>
      <c r="N33">
        <f t="shared" si="8"/>
        <v>0</v>
      </c>
    </row>
    <row r="34" spans="1:14" x14ac:dyDescent="0.2">
      <c r="A34">
        <v>3</v>
      </c>
      <c r="B34" t="s">
        <v>8</v>
      </c>
      <c r="C34">
        <v>0</v>
      </c>
      <c r="D34">
        <v>0</v>
      </c>
      <c r="E34">
        <v>0</v>
      </c>
      <c r="F34" s="3">
        <f t="shared" si="0"/>
        <v>0</v>
      </c>
      <c r="G34">
        <v>1</v>
      </c>
      <c r="H34">
        <v>5</v>
      </c>
      <c r="I34" s="3">
        <f t="shared" si="4"/>
        <v>0.2</v>
      </c>
      <c r="J34">
        <v>0</v>
      </c>
      <c r="K34">
        <v>0</v>
      </c>
      <c r="L34" s="3">
        <f t="shared" si="5"/>
        <v>0</v>
      </c>
      <c r="M34">
        <v>1</v>
      </c>
      <c r="N34">
        <f t="shared" si="8"/>
        <v>3</v>
      </c>
    </row>
    <row r="35" spans="1:14" x14ac:dyDescent="0.2">
      <c r="A35">
        <v>3</v>
      </c>
      <c r="B35" t="s">
        <v>9</v>
      </c>
      <c r="C35">
        <v>0</v>
      </c>
      <c r="D35">
        <v>0</v>
      </c>
      <c r="E35">
        <v>2</v>
      </c>
      <c r="F35" s="3">
        <f t="shared" si="0"/>
        <v>0</v>
      </c>
      <c r="G35">
        <v>0</v>
      </c>
      <c r="H35">
        <v>2</v>
      </c>
      <c r="I35" s="3">
        <f t="shared" si="4"/>
        <v>0</v>
      </c>
      <c r="J35">
        <v>0</v>
      </c>
      <c r="K35">
        <v>0</v>
      </c>
      <c r="L35" s="3">
        <f t="shared" si="5"/>
        <v>0</v>
      </c>
      <c r="M35">
        <v>0</v>
      </c>
      <c r="N35">
        <f t="shared" si="8"/>
        <v>0</v>
      </c>
    </row>
    <row r="36" spans="1:14" x14ac:dyDescent="0.2">
      <c r="A36">
        <v>3</v>
      </c>
      <c r="B36" t="s">
        <v>10</v>
      </c>
      <c r="C36">
        <v>0</v>
      </c>
      <c r="D36">
        <v>0</v>
      </c>
      <c r="E36">
        <v>0</v>
      </c>
      <c r="F36" s="3">
        <f t="shared" si="0"/>
        <v>0</v>
      </c>
      <c r="G36">
        <v>0</v>
      </c>
      <c r="H36">
        <v>1</v>
      </c>
      <c r="I36" s="3">
        <f t="shared" si="4"/>
        <v>0</v>
      </c>
      <c r="J36">
        <v>0</v>
      </c>
      <c r="K36">
        <v>0</v>
      </c>
      <c r="L36" s="3">
        <f t="shared" si="5"/>
        <v>0</v>
      </c>
      <c r="M36">
        <v>2</v>
      </c>
      <c r="N36">
        <f t="shared" si="8"/>
        <v>0</v>
      </c>
    </row>
    <row r="37" spans="1:14" x14ac:dyDescent="0.2">
      <c r="A37">
        <v>3</v>
      </c>
      <c r="B37" t="s">
        <v>11</v>
      </c>
      <c r="C37">
        <v>0</v>
      </c>
      <c r="D37">
        <v>0</v>
      </c>
      <c r="E37">
        <v>1</v>
      </c>
      <c r="F37" s="3">
        <f t="shared" si="0"/>
        <v>0</v>
      </c>
      <c r="G37">
        <v>0</v>
      </c>
      <c r="H37">
        <v>0</v>
      </c>
      <c r="I37" s="3">
        <f t="shared" si="4"/>
        <v>0</v>
      </c>
      <c r="J37">
        <v>0</v>
      </c>
      <c r="K37">
        <v>0</v>
      </c>
      <c r="L37" s="3">
        <f t="shared" si="5"/>
        <v>0</v>
      </c>
      <c r="M37">
        <v>2</v>
      </c>
      <c r="N37">
        <f t="shared" si="8"/>
        <v>0</v>
      </c>
    </row>
    <row r="38" spans="1:14" x14ac:dyDescent="0.2">
      <c r="A38">
        <v>3</v>
      </c>
      <c r="B38" t="s">
        <v>33</v>
      </c>
      <c r="C38">
        <v>0</v>
      </c>
      <c r="D38">
        <v>0</v>
      </c>
      <c r="E38">
        <v>0</v>
      </c>
      <c r="F38" s="3">
        <f t="shared" si="0"/>
        <v>0</v>
      </c>
      <c r="G38">
        <v>0</v>
      </c>
      <c r="H38">
        <v>0</v>
      </c>
      <c r="I38" s="3">
        <f t="shared" si="4"/>
        <v>0</v>
      </c>
      <c r="J38">
        <v>0</v>
      </c>
      <c r="K38">
        <v>0</v>
      </c>
      <c r="L38" s="3">
        <f t="shared" si="5"/>
        <v>0</v>
      </c>
      <c r="M38">
        <v>0</v>
      </c>
      <c r="N38">
        <f t="shared" si="8"/>
        <v>0</v>
      </c>
    </row>
    <row r="39" spans="1:14" x14ac:dyDescent="0.2">
      <c r="A39">
        <v>3</v>
      </c>
      <c r="B39" t="s">
        <v>34</v>
      </c>
      <c r="C39">
        <v>0</v>
      </c>
      <c r="D39">
        <v>0</v>
      </c>
      <c r="E39">
        <v>0</v>
      </c>
      <c r="F39" s="3">
        <f t="shared" si="0"/>
        <v>0</v>
      </c>
      <c r="G39">
        <v>0</v>
      </c>
      <c r="H39">
        <v>0</v>
      </c>
      <c r="I39" s="3">
        <f t="shared" si="4"/>
        <v>0</v>
      </c>
      <c r="J39">
        <v>1</v>
      </c>
      <c r="K39">
        <v>2</v>
      </c>
      <c r="L39" s="3">
        <f t="shared" si="5"/>
        <v>0.5</v>
      </c>
      <c r="M39">
        <v>0</v>
      </c>
      <c r="N39">
        <f t="shared" si="8"/>
        <v>1</v>
      </c>
    </row>
    <row r="40" spans="1:14" x14ac:dyDescent="0.2">
      <c r="A40">
        <v>3</v>
      </c>
      <c r="B40" t="s">
        <v>31</v>
      </c>
      <c r="C40">
        <f>SUM(C28:C39)</f>
        <v>5</v>
      </c>
      <c r="D40">
        <f t="shared" ref="D40:N40" si="9">SUM(D28:D39)</f>
        <v>12</v>
      </c>
      <c r="E40">
        <f t="shared" si="9"/>
        <v>39</v>
      </c>
      <c r="F40" s="3">
        <f t="shared" si="0"/>
        <v>0.30769230769230771</v>
      </c>
      <c r="G40">
        <f t="shared" si="9"/>
        <v>4</v>
      </c>
      <c r="H40">
        <f t="shared" si="9"/>
        <v>27</v>
      </c>
      <c r="I40" s="3">
        <f t="shared" si="4"/>
        <v>0.14814814814814814</v>
      </c>
      <c r="J40">
        <f t="shared" si="9"/>
        <v>10</v>
      </c>
      <c r="K40">
        <f t="shared" si="9"/>
        <v>18</v>
      </c>
      <c r="L40" s="3">
        <f t="shared" si="5"/>
        <v>0.55555555555555558</v>
      </c>
      <c r="M40">
        <f t="shared" si="9"/>
        <v>21</v>
      </c>
      <c r="N40">
        <f t="shared" si="9"/>
        <v>46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EA45B-43FE-4341-8C19-B983639FAE4C}">
  <dimension ref="A1:F4"/>
  <sheetViews>
    <sheetView workbookViewId="0">
      <selection activeCell="F5" sqref="F5"/>
    </sheetView>
  </sheetViews>
  <sheetFormatPr baseColWidth="10" defaultRowHeight="16" x14ac:dyDescent="0.2"/>
  <sheetData>
    <row r="1" spans="1:6" x14ac:dyDescent="0.2">
      <c r="A1" s="2" t="s">
        <v>26</v>
      </c>
      <c r="B1" s="2" t="s">
        <v>12</v>
      </c>
      <c r="C1" s="2" t="s">
        <v>14</v>
      </c>
      <c r="D1" s="2" t="s">
        <v>27</v>
      </c>
      <c r="E1" s="2" t="s">
        <v>17</v>
      </c>
      <c r="F1" s="2" t="s">
        <v>18</v>
      </c>
    </row>
    <row r="2" spans="1:6" x14ac:dyDescent="0.2">
      <c r="A2">
        <v>1</v>
      </c>
      <c r="B2" s="1">
        <v>46287</v>
      </c>
      <c r="C2" t="s">
        <v>15</v>
      </c>
      <c r="D2" t="s">
        <v>16</v>
      </c>
      <c r="E2">
        <v>81</v>
      </c>
      <c r="F2">
        <v>97</v>
      </c>
    </row>
    <row r="3" spans="1:6" x14ac:dyDescent="0.2">
      <c r="A3">
        <v>2</v>
      </c>
      <c r="B3" s="1">
        <v>46299</v>
      </c>
      <c r="C3" t="s">
        <v>15</v>
      </c>
      <c r="D3" t="s">
        <v>35</v>
      </c>
      <c r="E3">
        <v>75</v>
      </c>
      <c r="F3">
        <v>57</v>
      </c>
    </row>
    <row r="4" spans="1:6" x14ac:dyDescent="0.2">
      <c r="A4">
        <v>3</v>
      </c>
      <c r="B4" s="1">
        <v>46299</v>
      </c>
      <c r="C4" t="s">
        <v>15</v>
      </c>
      <c r="D4" t="s">
        <v>36</v>
      </c>
      <c r="E4">
        <v>46</v>
      </c>
      <c r="F4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Giocatori</vt:lpstr>
      <vt:lpstr>Squadra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vezzoli</dc:creator>
  <cp:lastModifiedBy>matteo vezzoli</cp:lastModifiedBy>
  <dcterms:created xsi:type="dcterms:W3CDTF">2026-09-23T08:57:02Z</dcterms:created>
  <dcterms:modified xsi:type="dcterms:W3CDTF">2026-10-04T21:43:34Z</dcterms:modified>
</cp:coreProperties>
</file>