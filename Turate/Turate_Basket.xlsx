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tteovezzoli/Desktop/"/>
    </mc:Choice>
  </mc:AlternateContent>
  <xr:revisionPtr revIDLastSave="0" documentId="13_ncr:1_{AA4AEBB6-13EA-A342-AF1C-BEF5128EEC2B}" xr6:coauthVersionLast="47" xr6:coauthVersionMax="47" xr10:uidLastSave="{00000000-0000-0000-0000-000000000000}"/>
  <bookViews>
    <workbookView xWindow="0" yWindow="680" windowWidth="34200" windowHeight="19820" xr2:uid="{77520E61-4CBE-564E-BF0B-ECF911E0A7F5}"/>
  </bookViews>
  <sheets>
    <sheet name="Giocatori" sheetId="1" r:id="rId1"/>
    <sheet name="Squadr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4" i="1" l="1"/>
  <c r="E14" i="1"/>
  <c r="G14" i="1"/>
  <c r="H14" i="1"/>
  <c r="J14" i="1"/>
  <c r="L14" i="1" s="1"/>
  <c r="K14" i="1"/>
  <c r="M14" i="1"/>
  <c r="N14" i="1"/>
  <c r="N12" i="1"/>
  <c r="N13" i="1"/>
  <c r="L12" i="1"/>
  <c r="L13" i="1"/>
  <c r="I12" i="1"/>
  <c r="I13" i="1"/>
  <c r="F11" i="1"/>
  <c r="F12" i="1"/>
  <c r="F13" i="1"/>
  <c r="F8" i="1"/>
  <c r="C14" i="1"/>
  <c r="N3" i="1"/>
  <c r="N4" i="1"/>
  <c r="N5" i="1"/>
  <c r="N6" i="1"/>
  <c r="N7" i="1"/>
  <c r="N8" i="1"/>
  <c r="N9" i="1"/>
  <c r="N10" i="1"/>
  <c r="N11" i="1"/>
  <c r="N2" i="1"/>
  <c r="F3" i="1"/>
  <c r="F4" i="1"/>
  <c r="F5" i="1"/>
  <c r="F6" i="1"/>
  <c r="F7" i="1"/>
  <c r="F9" i="1"/>
  <c r="F10" i="1"/>
  <c r="L3" i="1"/>
  <c r="L4" i="1"/>
  <c r="L5" i="1"/>
  <c r="L6" i="1"/>
  <c r="L7" i="1"/>
  <c r="L8" i="1"/>
  <c r="L9" i="1"/>
  <c r="L10" i="1"/>
  <c r="L11" i="1"/>
  <c r="L2" i="1"/>
  <c r="I2" i="1"/>
  <c r="I3" i="1"/>
  <c r="I4" i="1"/>
  <c r="I5" i="1"/>
  <c r="I6" i="1"/>
  <c r="I7" i="1"/>
  <c r="I8" i="1"/>
  <c r="I9" i="1"/>
  <c r="I10" i="1"/>
  <c r="I11" i="1"/>
  <c r="F2" i="1"/>
  <c r="I14" i="1" l="1"/>
  <c r="F14" i="1"/>
</calcChain>
</file>

<file path=xl/sharedStrings.xml><?xml version="1.0" encoding="utf-8"?>
<sst xmlns="http://schemas.openxmlformats.org/spreadsheetml/2006/main" count="35" uniqueCount="35">
  <si>
    <t>Giocatori</t>
  </si>
  <si>
    <t>Titolare</t>
  </si>
  <si>
    <t>Jack</t>
  </si>
  <si>
    <t>Ubo</t>
  </si>
  <si>
    <t>Karim</t>
  </si>
  <si>
    <t xml:space="preserve">Gio </t>
  </si>
  <si>
    <t>Marco</t>
  </si>
  <si>
    <t xml:space="preserve">Teo </t>
  </si>
  <si>
    <t>Dani</t>
  </si>
  <si>
    <t xml:space="preserve">Ricky </t>
  </si>
  <si>
    <t xml:space="preserve">Rupi </t>
  </si>
  <si>
    <t>Edo</t>
  </si>
  <si>
    <t>Data</t>
  </si>
  <si>
    <t>Partita</t>
  </si>
  <si>
    <t>Tipo</t>
  </si>
  <si>
    <t>Amichevole</t>
  </si>
  <si>
    <t>Uboldo</t>
  </si>
  <si>
    <t>Punti fatti</t>
  </si>
  <si>
    <t>Punti subiti</t>
  </si>
  <si>
    <t>2P segnati</t>
  </si>
  <si>
    <t>2P tentati</t>
  </si>
  <si>
    <t>3P segnati</t>
  </si>
  <si>
    <t>3P tentati</t>
  </si>
  <si>
    <t>TL segnati</t>
  </si>
  <si>
    <t>TL tentati</t>
  </si>
  <si>
    <t>Palle perse</t>
  </si>
  <si>
    <t>Numero partita</t>
  </si>
  <si>
    <t>Avversario</t>
  </si>
  <si>
    <t>2P %</t>
  </si>
  <si>
    <t>3P %</t>
  </si>
  <si>
    <t>TL %</t>
  </si>
  <si>
    <t>TOTALE</t>
  </si>
  <si>
    <t xml:space="preserve">Punti segnati </t>
  </si>
  <si>
    <t>Vala</t>
  </si>
  <si>
    <t>Nic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</si>
</sst>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16" fontId="0" fillId="0" borderId="0" xfId="0" applyNumberFormat="1"/>
    <xf numFmtId="0" fontId="2" fillId="0" borderId="0" xfId="0" applyFont="1"/>
    <xf numFmtId="9" fontId="2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195EE-B1BE-684C-B5EE-A346702C9F57}">
  <dimension ref="A1:N14"/>
  <sheetViews>
    <sheetView tabSelected="1" workbookViewId="0">
      <selection activeCell="B14" sqref="B14"/>
    </sheetView>
  </sheetViews>
  <sheetFormatPr baseColWidth="10" defaultRowHeight="16" x14ac:dyDescent="0.2"/>
  <sheetData>
    <row r="1" spans="1:14" x14ac:dyDescent="0.2">
      <c r="A1" t="s">
        <v>13</v>
      </c>
      <c r="B1" t="s">
        <v>0</v>
      </c>
      <c r="C1" t="s">
        <v>1</v>
      </c>
      <c r="D1" s="2" t="s">
        <v>19</v>
      </c>
      <c r="E1" s="2" t="s">
        <v>20</v>
      </c>
      <c r="F1" t="s">
        <v>28</v>
      </c>
      <c r="G1" s="2" t="s">
        <v>21</v>
      </c>
      <c r="H1" s="2" t="s">
        <v>22</v>
      </c>
      <c r="I1" t="s">
        <v>29</v>
      </c>
      <c r="J1" s="2" t="s">
        <v>23</v>
      </c>
      <c r="K1" s="2" t="s">
        <v>24</v>
      </c>
      <c r="L1" t="s">
        <v>30</v>
      </c>
      <c r="M1" s="2" t="s">
        <v>25</v>
      </c>
      <c r="N1" s="2" t="s">
        <v>32</v>
      </c>
    </row>
    <row r="2" spans="1:14" x14ac:dyDescent="0.2">
      <c r="A2">
        <v>1</v>
      </c>
      <c r="B2" t="s">
        <v>2</v>
      </c>
      <c r="C2">
        <v>1</v>
      </c>
      <c r="D2" s="2">
        <v>5</v>
      </c>
      <c r="E2" s="2">
        <v>8</v>
      </c>
      <c r="F2" s="3">
        <f>IF(D2=0,0,D2/E2)</f>
        <v>0.625</v>
      </c>
      <c r="G2" s="2">
        <v>0</v>
      </c>
      <c r="H2" s="2">
        <v>1</v>
      </c>
      <c r="I2" s="3">
        <f>IF(G2=0,0,G2/H2)</f>
        <v>0</v>
      </c>
      <c r="J2" s="2">
        <v>4</v>
      </c>
      <c r="K2" s="2">
        <v>8</v>
      </c>
      <c r="L2" s="3">
        <f>IF(J2=0,0,J2/K2)</f>
        <v>0.5</v>
      </c>
      <c r="M2" s="2">
        <v>2</v>
      </c>
      <c r="N2">
        <f>D2*2+G2*3+J2</f>
        <v>14</v>
      </c>
    </row>
    <row r="3" spans="1:14" x14ac:dyDescent="0.2">
      <c r="A3">
        <v>1</v>
      </c>
      <c r="B3" t="s">
        <v>3</v>
      </c>
      <c r="C3">
        <v>1</v>
      </c>
      <c r="D3" s="2">
        <v>1</v>
      </c>
      <c r="E3" s="2">
        <v>2</v>
      </c>
      <c r="F3" s="3">
        <f t="shared" ref="F3:F14" si="0">IF(D3=0,0,D3/E3)</f>
        <v>0.5</v>
      </c>
      <c r="G3" s="2">
        <v>2</v>
      </c>
      <c r="H3" s="2">
        <v>5</v>
      </c>
      <c r="I3" s="3">
        <f t="shared" ref="I3:I13" si="1">IF(G3=0,0,G3/H3)</f>
        <v>0.4</v>
      </c>
      <c r="J3" s="2">
        <v>0</v>
      </c>
      <c r="K3" s="2">
        <v>0</v>
      </c>
      <c r="L3" s="3">
        <f t="shared" ref="L3:L13" si="2">IF(J3=0,0,J3/K3)</f>
        <v>0</v>
      </c>
      <c r="M3" s="2">
        <v>0</v>
      </c>
      <c r="N3">
        <f t="shared" ref="N3:N13" si="3">D3*2+G3*3+J3</f>
        <v>8</v>
      </c>
    </row>
    <row r="4" spans="1:14" x14ac:dyDescent="0.2">
      <c r="A4">
        <v>1</v>
      </c>
      <c r="B4" t="s">
        <v>4</v>
      </c>
      <c r="C4">
        <v>1</v>
      </c>
      <c r="D4" s="2">
        <v>1</v>
      </c>
      <c r="E4" s="2">
        <v>2</v>
      </c>
      <c r="F4" s="3">
        <f t="shared" si="0"/>
        <v>0.5</v>
      </c>
      <c r="G4" s="2">
        <v>2</v>
      </c>
      <c r="H4" s="2">
        <v>6</v>
      </c>
      <c r="I4" s="3">
        <f t="shared" si="1"/>
        <v>0.33333333333333331</v>
      </c>
      <c r="J4" s="2">
        <v>0</v>
      </c>
      <c r="K4" s="2">
        <v>0</v>
      </c>
      <c r="L4" s="3">
        <f t="shared" si="2"/>
        <v>0</v>
      </c>
      <c r="M4" s="2">
        <v>2</v>
      </c>
      <c r="N4">
        <f t="shared" si="3"/>
        <v>8</v>
      </c>
    </row>
    <row r="5" spans="1:14" x14ac:dyDescent="0.2">
      <c r="A5">
        <v>1</v>
      </c>
      <c r="B5" t="s">
        <v>5</v>
      </c>
      <c r="C5">
        <v>1</v>
      </c>
      <c r="D5" s="2">
        <v>6</v>
      </c>
      <c r="E5" s="2">
        <v>9</v>
      </c>
      <c r="F5" s="3">
        <f t="shared" si="0"/>
        <v>0.66666666666666663</v>
      </c>
      <c r="G5" s="2">
        <v>1</v>
      </c>
      <c r="H5" s="2">
        <v>8</v>
      </c>
      <c r="I5" s="3">
        <f t="shared" si="1"/>
        <v>0.125</v>
      </c>
      <c r="J5" s="2">
        <v>0</v>
      </c>
      <c r="K5" s="2">
        <v>0</v>
      </c>
      <c r="L5" s="3">
        <f t="shared" si="2"/>
        <v>0</v>
      </c>
      <c r="M5" s="2">
        <v>4</v>
      </c>
      <c r="N5">
        <f t="shared" si="3"/>
        <v>15</v>
      </c>
    </row>
    <row r="6" spans="1:14" x14ac:dyDescent="0.2">
      <c r="A6">
        <v>1</v>
      </c>
      <c r="B6" t="s">
        <v>6</v>
      </c>
      <c r="C6">
        <v>1</v>
      </c>
      <c r="D6" s="2">
        <v>3</v>
      </c>
      <c r="E6" s="2">
        <v>8</v>
      </c>
      <c r="F6" s="3">
        <f t="shared" si="0"/>
        <v>0.375</v>
      </c>
      <c r="G6" s="2">
        <v>1</v>
      </c>
      <c r="H6" s="2">
        <v>3</v>
      </c>
      <c r="I6" s="3">
        <f t="shared" si="1"/>
        <v>0.33333333333333331</v>
      </c>
      <c r="J6" s="2">
        <v>6</v>
      </c>
      <c r="K6" s="2">
        <v>10</v>
      </c>
      <c r="L6" s="3">
        <f t="shared" si="2"/>
        <v>0.6</v>
      </c>
      <c r="M6" s="2">
        <v>1</v>
      </c>
      <c r="N6">
        <f t="shared" si="3"/>
        <v>15</v>
      </c>
    </row>
    <row r="7" spans="1:14" x14ac:dyDescent="0.2">
      <c r="A7">
        <v>1</v>
      </c>
      <c r="B7" t="s">
        <v>7</v>
      </c>
      <c r="C7">
        <v>0</v>
      </c>
      <c r="D7" s="2">
        <v>1</v>
      </c>
      <c r="E7" s="2">
        <v>6</v>
      </c>
      <c r="F7" s="3">
        <f t="shared" si="0"/>
        <v>0.16666666666666666</v>
      </c>
      <c r="G7" s="2">
        <v>0</v>
      </c>
      <c r="H7" s="2">
        <v>1</v>
      </c>
      <c r="I7" s="3">
        <f t="shared" si="1"/>
        <v>0</v>
      </c>
      <c r="J7" s="2">
        <v>2</v>
      </c>
      <c r="K7" s="2">
        <v>4</v>
      </c>
      <c r="L7" s="3">
        <f t="shared" si="2"/>
        <v>0.5</v>
      </c>
      <c r="M7" s="2">
        <v>3</v>
      </c>
      <c r="N7">
        <f t="shared" si="3"/>
        <v>4</v>
      </c>
    </row>
    <row r="8" spans="1:14" x14ac:dyDescent="0.2">
      <c r="A8">
        <v>1</v>
      </c>
      <c r="B8" t="s">
        <v>8</v>
      </c>
      <c r="C8">
        <v>0</v>
      </c>
      <c r="D8" s="2">
        <v>1</v>
      </c>
      <c r="E8" s="2">
        <v>2</v>
      </c>
      <c r="F8" s="3">
        <f>IF(D8=0,0,D8/E8)</f>
        <v>0.5</v>
      </c>
      <c r="G8" s="2">
        <v>3</v>
      </c>
      <c r="H8" s="2">
        <v>7</v>
      </c>
      <c r="I8" s="3">
        <f t="shared" si="1"/>
        <v>0.42857142857142855</v>
      </c>
      <c r="J8" s="2">
        <v>0</v>
      </c>
      <c r="K8" s="2">
        <v>0</v>
      </c>
      <c r="L8" s="3">
        <f t="shared" si="2"/>
        <v>0</v>
      </c>
      <c r="M8" s="2">
        <v>2</v>
      </c>
      <c r="N8">
        <f t="shared" si="3"/>
        <v>11</v>
      </c>
    </row>
    <row r="9" spans="1:14" x14ac:dyDescent="0.2">
      <c r="A9">
        <v>1</v>
      </c>
      <c r="B9" t="s">
        <v>9</v>
      </c>
      <c r="C9">
        <v>0</v>
      </c>
      <c r="D9" s="2">
        <v>0</v>
      </c>
      <c r="E9" s="2">
        <v>2</v>
      </c>
      <c r="F9" s="3">
        <f t="shared" si="0"/>
        <v>0</v>
      </c>
      <c r="G9" s="2">
        <v>0</v>
      </c>
      <c r="H9" s="2">
        <v>0</v>
      </c>
      <c r="I9" s="3">
        <f t="shared" si="1"/>
        <v>0</v>
      </c>
      <c r="J9" s="2">
        <v>0</v>
      </c>
      <c r="K9" s="2">
        <v>0</v>
      </c>
      <c r="L9" s="3">
        <f t="shared" si="2"/>
        <v>0</v>
      </c>
      <c r="M9" s="2">
        <v>1</v>
      </c>
      <c r="N9">
        <f t="shared" si="3"/>
        <v>0</v>
      </c>
    </row>
    <row r="10" spans="1:14" x14ac:dyDescent="0.2">
      <c r="A10">
        <v>1</v>
      </c>
      <c r="B10" t="s">
        <v>10</v>
      </c>
      <c r="C10">
        <v>0</v>
      </c>
      <c r="D10" s="2">
        <v>2</v>
      </c>
      <c r="E10" s="2">
        <v>2</v>
      </c>
      <c r="F10" s="3">
        <f t="shared" si="0"/>
        <v>1</v>
      </c>
      <c r="G10" s="2">
        <v>0</v>
      </c>
      <c r="H10" s="2">
        <v>0</v>
      </c>
      <c r="I10" s="3">
        <f t="shared" si="1"/>
        <v>0</v>
      </c>
      <c r="J10" s="2">
        <v>0</v>
      </c>
      <c r="K10" s="2">
        <v>1</v>
      </c>
      <c r="L10" s="3">
        <f t="shared" si="2"/>
        <v>0</v>
      </c>
      <c r="M10" s="2">
        <v>2</v>
      </c>
      <c r="N10">
        <f t="shared" si="3"/>
        <v>4</v>
      </c>
    </row>
    <row r="11" spans="1:14" x14ac:dyDescent="0.2">
      <c r="A11">
        <v>1</v>
      </c>
      <c r="B11" t="s">
        <v>11</v>
      </c>
      <c r="C11">
        <v>0</v>
      </c>
      <c r="D11" s="2">
        <v>1</v>
      </c>
      <c r="E11" s="2">
        <v>1</v>
      </c>
      <c r="F11" s="3">
        <f t="shared" si="0"/>
        <v>1</v>
      </c>
      <c r="G11" s="2">
        <v>0</v>
      </c>
      <c r="H11" s="2">
        <v>1</v>
      </c>
      <c r="I11" s="3">
        <f t="shared" si="1"/>
        <v>0</v>
      </c>
      <c r="J11" s="2">
        <v>0</v>
      </c>
      <c r="K11" s="2">
        <v>0</v>
      </c>
      <c r="L11" s="3">
        <f t="shared" si="2"/>
        <v>0</v>
      </c>
      <c r="M11" s="2">
        <v>1</v>
      </c>
      <c r="N11">
        <f t="shared" si="3"/>
        <v>2</v>
      </c>
    </row>
    <row r="12" spans="1:14" x14ac:dyDescent="0.2">
      <c r="A12">
        <v>1</v>
      </c>
      <c r="B12" t="s">
        <v>33</v>
      </c>
      <c r="C12">
        <v>0</v>
      </c>
      <c r="D12">
        <v>0</v>
      </c>
      <c r="E12">
        <v>0</v>
      </c>
      <c r="F12" s="3">
        <f>IF(D12=0,0,D12/E12)</f>
        <v>0</v>
      </c>
      <c r="G12">
        <v>0</v>
      </c>
      <c r="H12">
        <v>0</v>
      </c>
      <c r="I12" s="3">
        <f t="shared" si="1"/>
        <v>0</v>
      </c>
      <c r="J12">
        <v>0</v>
      </c>
      <c r="K12">
        <v>0</v>
      </c>
      <c r="L12" s="3">
        <f t="shared" si="2"/>
        <v>0</v>
      </c>
      <c r="M12">
        <v>0</v>
      </c>
      <c r="N12">
        <f t="shared" si="3"/>
        <v>0</v>
      </c>
    </row>
    <row r="13" spans="1:14" x14ac:dyDescent="0.2">
      <c r="A13">
        <v>1</v>
      </c>
      <c r="B13" t="s">
        <v>34</v>
      </c>
      <c r="C13">
        <v>0</v>
      </c>
      <c r="D13">
        <v>0</v>
      </c>
      <c r="E13">
        <v>0</v>
      </c>
      <c r="F13" s="3">
        <f t="shared" si="0"/>
        <v>0</v>
      </c>
      <c r="G13">
        <v>0</v>
      </c>
      <c r="H13">
        <v>0</v>
      </c>
      <c r="I13" s="3">
        <f t="shared" si="1"/>
        <v>0</v>
      </c>
      <c r="J13">
        <v>0</v>
      </c>
      <c r="K13">
        <v>0</v>
      </c>
      <c r="L13" s="3">
        <f t="shared" si="2"/>
        <v>0</v>
      </c>
      <c r="M13">
        <v>0</v>
      </c>
      <c r="N13">
        <f t="shared" si="3"/>
        <v>0</v>
      </c>
    </row>
    <row r="14" spans="1:14" x14ac:dyDescent="0.2">
      <c r="A14">
        <v>1</v>
      </c>
      <c r="B14" t="s">
        <v>31</v>
      </c>
      <c r="C14">
        <f>SUM(C2:C13)</f>
        <v>5</v>
      </c>
      <c r="D14">
        <f>SUM(D2:D13)</f>
        <v>21</v>
      </c>
      <c r="E14">
        <f>SUM(E2:E13)</f>
        <v>42</v>
      </c>
      <c r="F14" s="3">
        <f t="shared" si="0"/>
        <v>0.5</v>
      </c>
      <c r="G14">
        <f>SUM(G2:G13)</f>
        <v>9</v>
      </c>
      <c r="H14">
        <f>SUM(H2:H13)</f>
        <v>32</v>
      </c>
      <c r="I14" s="3">
        <f>IF(G14=0,0,G14/H14)</f>
        <v>0.28125</v>
      </c>
      <c r="J14">
        <f>SUM(J2:J13)</f>
        <v>12</v>
      </c>
      <c r="K14">
        <f>SUM(K2:K13)</f>
        <v>23</v>
      </c>
      <c r="L14" s="3">
        <f>IF(J14=0,0,J14/K14)</f>
        <v>0.52173913043478259</v>
      </c>
      <c r="M14">
        <f>SUM(M2:M13)</f>
        <v>18</v>
      </c>
      <c r="N14">
        <f>SUM(N2:N13)</f>
        <v>81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EA45B-43FE-4341-8C19-B983639FAE4C}">
  <dimension ref="A1:F2"/>
  <sheetViews>
    <sheetView workbookViewId="0">
      <selection activeCell="E37" sqref="E37"/>
    </sheetView>
  </sheetViews>
  <sheetFormatPr baseColWidth="10" defaultRowHeight="16" x14ac:dyDescent="0.2"/>
  <sheetData>
    <row r="1" spans="1:6" x14ac:dyDescent="0.2">
      <c r="A1" s="2" t="s">
        <v>26</v>
      </c>
      <c r="B1" s="2" t="s">
        <v>12</v>
      </c>
      <c r="C1" s="2" t="s">
        <v>14</v>
      </c>
      <c r="D1" s="2" t="s">
        <v>27</v>
      </c>
      <c r="E1" s="2" t="s">
        <v>17</v>
      </c>
      <c r="F1" s="2" t="s">
        <v>18</v>
      </c>
    </row>
    <row r="2" spans="1:6" x14ac:dyDescent="0.2">
      <c r="A2">
        <v>1</v>
      </c>
      <c r="B2" s="1">
        <v>46287</v>
      </c>
      <c r="C2" t="s">
        <v>15</v>
      </c>
      <c r="D2" t="s">
        <v>16</v>
      </c>
      <c r="E2">
        <v>81</v>
      </c>
      <c r="F2">
        <v>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Giocatori</vt:lpstr>
      <vt:lpstr>Squadra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matteo vezzoli</dc:creator>
  <cp:lastModifiedBy>matteo vezzoli</cp:lastModifiedBy>
  <dcterms:created xsi:type="dcterms:W3CDTF">2026-09-23T08:57:02Z</dcterms:created>
  <dcterms:modified xsi:type="dcterms:W3CDTF">2026-09-23T13:07:16Z</dcterms:modified>
</cp:coreProperties>
</file>